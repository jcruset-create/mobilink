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ATOS" sheetId="1" state="visible" r:id="rId1"/>
    <sheet name="JUSTIFICANTE TRANSFERENCIA" sheetId="2" state="visible" r:id="rId2"/>
    <sheet name="INTRANSFERIBILIDAD CLIENTE" sheetId="3" state="visible" r:id="rId3"/>
    <sheet name="INTRANSF. ADMINISTRACION" sheetId="4" state="visible" r:id="rId4"/>
    <sheet name="REGISTRO TRANSFERENCIAS" sheetId="5" state="visible" r:id="rId5"/>
    <sheet name="CONFIGURACION" sheetId="6" state="visible" r:id="rId6"/>
  </sheets>
  <definedNames>
    <definedName name="Cfg_Empresa">'CONFIGURACION'!$B$4</definedName>
    <definedName name="Cfg_CentroTecnico">'CONFIGURACION'!$B$5</definedName>
    <definedName name="Cfg_NumCentro">'CONFIGURACION'!$B$6</definedName>
    <definedName name="Cfg_Direccion1">'CONFIGURACION'!$B$7</definedName>
    <definedName name="Cfg_Direccion2">'CONFIGURACION'!$B$8</definedName>
    <definedName name="Cfg_Ciudad">'CONFIGURACION'!$B$9</definedName>
    <definedName name="Cfg_CiudadFirma">'CONFIGURACION'!$B$10</definedName>
    <definedName name="Cfg_Email">'CONFIGURACION'!$B$11</definedName>
    <definedName name="Cfg_Destinatario">'CONFIGURACION'!$B$12</definedName>
    <definedName name="Cfg_ResponsableTecnico">'CONFIGURACION'!$B$15</definedName>
    <definedName name="Cfg_Elaborado">'CONFIGURACION'!$B$16</definedName>
    <definedName name="Cfg_Aprobado">'CONFIGURACION'!$B$17</definedName>
    <definedName name="Cfg_Version">'CONFIGURACION'!$B$20</definedName>
    <definedName name="Cfg_FechaEdicion">'CONFIGURACION'!$B$21</definedName>
    <definedName name="Cfg_CodJust">'CONFIGURACION'!$B$22</definedName>
    <definedName name="Cfg_CodCliente">'CONFIGURACION'!$B$23</definedName>
    <definedName name="Cfg_CodAdmin">'CONFIGURACION'!$B$24</definedName>
    <definedName name="Cfg_CodRegistro">'CONFIGURACION'!$B$25</definedName>
    <definedName name="Cfg_Conservacion">'CONFIGURACION'!$B$26</definedName>
    <definedName name="Cfg_UrlTramite">'CONFIGURACION'!$B$29</definedName>
    <definedName name="Cfg_UrlTramiteOVT">'CONFIGURACION'!$B$30</definedName>
    <definedName name="Txt_J_Informado">'CONFIGURACION'!$B$43</definedName>
    <definedName name="Txt_J_Contrasena">'CONFIGURACION'!$B$44</definedName>
    <definedName name="Txt_J_Marca">'CONFIGURACION'!$B$45</definedName>
    <definedName name="Txt_En">'CONFIGURACION'!$B$46</definedName>
    <definedName name="Txt_A">'CONFIGURACION'!$B$47</definedName>
    <definedName name="Txt_Sello">'CONFIGURACION'!$B$48</definedName>
    <definedName name="Txt_Entrega_Si">'CONFIGURACION'!$B$49</definedName>
    <definedName name="Txt_Achatarrar_Si">'CONFIGURACION'!$B$50</definedName>
    <definedName name="Txt_Fitxer">'CONFIGURACION'!$B$51</definedName>
    <definedName name="Txt_Confid">'CONFIGURACION'!$B$52</definedName>
    <definedName name="Txt_Custodia">'CONFIGURACION'!$B$53</definedName>
    <definedName name="Txt_Titularidad">'CONFIGURACION'!$B$54</definedName>
    <definedName name="Txt_Cat_1">'CONFIGURACION'!$B$55</definedName>
    <definedName name="Txt_Cat_2">'CONFIGURACION'!$B$56</definedName>
    <definedName name="Txt_Cat_3">'CONFIGURACION'!$B$57</definedName>
    <definedName name="Txt_Cat_4">'CONFIGURACION'!$B$58</definedName>
    <definedName name="Txt_Cat_5">'CONFIGURACION'!$B$59</definedName>
    <definedName name="Txt_Cat_6">'CONFIGURACION'!$B$60</definedName>
    <definedName name="Dat_Empresa">'DATOS'!$B$5</definedName>
    <definedName name="Dat_Nombre">'DATOS'!$B$6</definedName>
    <definedName name="Dat_Nif">'DATOS'!$B$7</definedName>
    <definedName name="Dat_DocTitularidad">'DATOS'!$B$8</definedName>
    <definedName name="Dat_Matricula">'DATOS'!$B$10</definedName>
    <definedName name="Dat_Bastidor">'DATOS'!$B$11</definedName>
    <definedName name="Dat_Marca">'DATOS'!$B$13</definedName>
    <definedName name="Dat_Modelo">'DATOS'!$B$14</definedName>
    <definedName name="Dat_Serie">'DATOS'!$B$15</definedName>
    <definedName name="Dat_NumInforme">'DATOS'!$B$17</definedName>
    <definedName name="Dat_FechaInforme">'DATOS'!$B$18</definedName>
    <definedName name="Dat_FechaEntrega">'DATOS'!$B$19</definedName>
    <definedName name="Dat_TipoOperacion">'DATOS'!$B$20</definedName>
    <definedName name="Dat_Tecnico">'DATOS'!$B$21</definedName>
    <definedName name="Dat_FechaTransf">'DATOS'!$B$23</definedName>
    <definedName name="Dat_FechaEnvio">'DATOS'!$B$24</definedName>
    <definedName name="Dat_Modalidad">'DATOS'!$B$26</definedName>
    <definedName name="Dat_NombreReceptor">'DATOS'!$B$28</definedName>
    <definedName name="Dat_DniReceptor">'DATOS'!$B$29</definedName>
    <definedName name="Dat_EntregaAparato">'DATOS'!$B$31</definedName>
    <definedName name="Dat_Achatarrar">'DATOS'!$B$32</definedName>
    <definedName name="_xlnm.Print_Area" localSheetId="1">'JUSTIFICANTE TRANSFERENCIA'!$B$1:$H$30</definedName>
    <definedName name="_xlnm.Print_Area" localSheetId="2">'INTRANSFERIBILIDAD CLIENTE'!$A$1:$G$52</definedName>
    <definedName name="_xlnm.Print_Area" localSheetId="3">'INTRANSF. ADMINISTRACION'!$A$1:$G$34</definedName>
    <definedName name="_xlnm.Print_Titles" localSheetId="4">'REGISTRO TRANSFERENCIAS'!$4:$4</definedName>
    <definedName name="_xlnm.Print_Area" localSheetId="4">'REGISTRO TRANSFERENCIAS'!$A$1:$O$39</definedName>
  </definedNames>
  <calcPr calcId="124519" fullCalcOnLoad="1"/>
</workbook>
</file>

<file path=xl/styles.xml><?xml version="1.0" encoding="utf-8"?>
<styleSheet xmlns="http://schemas.openxmlformats.org/spreadsheetml/2006/main">
  <numFmts count="1">
    <numFmt numFmtId="164" formatCode="DD/MM/YYYY"/>
  </numFmts>
  <fonts count="20">
    <font>
      <name val="Calibri"/>
      <family val="2"/>
      <color theme="1"/>
      <sz val="11"/>
      <scheme val="minor"/>
    </font>
    <font>
      <name val="Arial"/>
      <b val="1"/>
      <sz val="14"/>
    </font>
    <font>
      <name val="Arial"/>
      <i val="1"/>
      <color rgb="00595959"/>
      <sz val="9"/>
    </font>
    <font>
      <name val="Arial"/>
      <b val="1"/>
      <color rgb="00FFFFFF"/>
      <sz val="10"/>
    </font>
    <font>
      <name val="Arial"/>
      <sz val="10"/>
    </font>
    <font>
      <name val="Arial"/>
      <color rgb="000000FF"/>
      <sz val="10"/>
    </font>
    <font>
      <name val="Arial"/>
      <b val="1"/>
      <color rgb="000000FF"/>
      <sz val="10"/>
    </font>
    <font>
      <name val="Arial"/>
      <b val="1"/>
      <sz val="10"/>
    </font>
    <font>
      <name val="Arial"/>
      <b val="1"/>
      <color rgb="00C00000"/>
      <sz val="9"/>
    </font>
    <font>
      <name val="Arial"/>
      <b val="1"/>
      <sz val="11"/>
    </font>
    <font>
      <name val="Times New Roman"/>
      <b val="1"/>
      <sz val="11"/>
    </font>
    <font>
      <name val="Times New Roman"/>
      <b val="1"/>
      <sz val="12"/>
    </font>
    <font>
      <name val="Times New Roman"/>
      <sz val="11"/>
    </font>
    <font>
      <name val="Times New Roman"/>
      <sz val="9"/>
    </font>
    <font>
      <name val="Times New Roman"/>
      <b val="1"/>
      <color rgb="00C00000"/>
      <sz val="11"/>
    </font>
    <font>
      <name val="Times New Roman"/>
      <color rgb="00595959"/>
      <sz val="8"/>
    </font>
    <font>
      <name val="Times New Roman"/>
      <b val="1"/>
      <sz val="13"/>
    </font>
    <font>
      <name val="Arial"/>
      <color rgb="000563C1"/>
      <sz val="10"/>
      <u val="single"/>
    </font>
    <font>
      <name val="Arial"/>
      <b val="1"/>
      <sz val="9"/>
    </font>
    <font>
      <name val="Arial"/>
      <sz val="9"/>
    </font>
  </fonts>
  <fills count="6">
    <fill>
      <patternFill/>
    </fill>
    <fill>
      <patternFill patternType="gray125"/>
    </fill>
    <fill>
      <patternFill patternType="solid">
        <fgColor rgb="001F4E79"/>
      </patternFill>
    </fill>
    <fill>
      <patternFill patternType="solid">
        <fgColor rgb="00FFF2CC"/>
      </patternFill>
    </fill>
    <fill>
      <patternFill patternType="solid">
        <fgColor rgb="00FFF2F2"/>
      </patternFill>
    </fill>
    <fill>
      <patternFill patternType="solid">
        <fgColor rgb="00D9E2F3"/>
      </patternFill>
    </fill>
  </fills>
  <borders count="4">
    <border>
      <left/>
      <right/>
      <top/>
      <bottom/>
      <diagonal/>
    </border>
    <border>
      <left style="thin">
        <color rgb="00BFBFBF"/>
      </left>
      <right style="thin">
        <color rgb="00BFBFBF"/>
      </right>
      <top style="thin">
        <color rgb="00BFBFBF"/>
      </top>
      <bottom style="thin">
        <color rgb="00BFBFBF"/>
      </bottom>
    </border>
    <border>
      <bottom style="thin">
        <color rgb="00000000"/>
      </bottom>
    </border>
    <border>
      <top style="thin">
        <color rgb="00000000"/>
      </top>
    </border>
  </borders>
  <cellStyleXfs count="1">
    <xf numFmtId="0" fontId="0" fillId="0" borderId="0"/>
  </cellStyleXfs>
  <cellXfs count="39">
    <xf numFmtId="0" fontId="0" fillId="0" borderId="0" pivotButton="0" quotePrefix="0" xfId="0"/>
    <xf numFmtId="0" fontId="1" fillId="0" borderId="0" pivotButton="0" quotePrefix="0" xfId="0"/>
    <xf numFmtId="0" fontId="2" fillId="0" borderId="0" pivotButton="0" quotePrefix="0" xfId="0"/>
    <xf numFmtId="0" fontId="9" fillId="0" borderId="0" pivotButton="0" quotePrefix="0" xfId="0"/>
    <xf numFmtId="0" fontId="3" fillId="2" borderId="0" pivotButton="0" quotePrefix="0" xfId="0"/>
    <xf numFmtId="0" fontId="0" fillId="2" borderId="0" pivotButton="0" quotePrefix="0" xfId="0"/>
    <xf numFmtId="0" fontId="4" fillId="0" borderId="0" pivotButton="0" quotePrefix="0" xfId="0"/>
    <xf numFmtId="0" fontId="5" fillId="3" borderId="1" applyProtection="1" pivotButton="0" quotePrefix="0" xfId="0">
      <protection locked="0" hidden="0"/>
    </xf>
    <xf numFmtId="0" fontId="8" fillId="4" borderId="0" pivotButton="0" quotePrefix="0" xfId="0"/>
    <xf numFmtId="0" fontId="6" fillId="3" borderId="1" applyProtection="1" pivotButton="0" quotePrefix="0" xfId="0">
      <protection locked="0" hidden="0"/>
    </xf>
    <xf numFmtId="164" fontId="5" fillId="3" borderId="1" applyProtection="1" pivotButton="0" quotePrefix="0" xfId="0">
      <protection locked="0" hidden="0"/>
    </xf>
    <xf numFmtId="0" fontId="7" fillId="0" borderId="1" pivotButton="0" quotePrefix="0" xfId="0"/>
    <xf numFmtId="0" fontId="10" fillId="0" borderId="0" pivotButton="0" quotePrefix="0" xfId="0"/>
    <xf numFmtId="0" fontId="11" fillId="0" borderId="0" applyAlignment="1" pivotButton="0" quotePrefix="0" xfId="0">
      <alignment horizontal="center" vertical="center" wrapText="1"/>
    </xf>
    <xf numFmtId="0" fontId="12" fillId="0" borderId="0" pivotButton="0" quotePrefix="0" xfId="0"/>
    <xf numFmtId="0" fontId="12" fillId="0" borderId="0" applyAlignment="1" pivotButton="0" quotePrefix="0" xfId="0">
      <alignment horizontal="justify" vertical="top" wrapText="1"/>
    </xf>
    <xf numFmtId="0" fontId="12" fillId="0" borderId="1" applyAlignment="1" pivotButton="0" quotePrefix="0" xfId="0">
      <alignment vertical="top" wrapText="1"/>
    </xf>
    <xf numFmtId="0" fontId="10" fillId="0" borderId="1" applyAlignment="1" pivotButton="0" quotePrefix="0" xfId="0">
      <alignment horizontal="center" vertical="center"/>
    </xf>
    <xf numFmtId="0" fontId="13" fillId="0" borderId="0" applyAlignment="1" pivotButton="0" quotePrefix="0" xfId="0">
      <alignment horizontal="justify" vertical="top" wrapText="1"/>
    </xf>
    <xf numFmtId="0" fontId="10" fillId="0" borderId="0" applyAlignment="1" pivotButton="0" quotePrefix="0" xfId="0">
      <alignment horizontal="justify" vertical="top" wrapText="1"/>
    </xf>
    <xf numFmtId="0" fontId="14" fillId="0" borderId="0" applyAlignment="1" pivotButton="0" quotePrefix="0" xfId="0">
      <alignment horizontal="center" vertical="center"/>
    </xf>
    <xf numFmtId="0" fontId="0" fillId="0" borderId="2" pivotButton="0" quotePrefix="0" xfId="0"/>
    <xf numFmtId="0" fontId="15" fillId="0" borderId="0" pivotButton="0" quotePrefix="0" xfId="0"/>
    <xf numFmtId="0" fontId="15" fillId="0" borderId="3" applyAlignment="1" pivotButton="0" quotePrefix="0" xfId="0">
      <alignment horizontal="center" vertical="center"/>
    </xf>
    <xf numFmtId="0" fontId="16" fillId="0" borderId="0" pivotButton="0" quotePrefix="0" xfId="0"/>
    <xf numFmtId="164" fontId="10" fillId="0" borderId="0" pivotButton="0" quotePrefix="0" xfId="0"/>
    <xf numFmtId="0" fontId="4" fillId="3" borderId="1" applyAlignment="1" pivotButton="0" quotePrefix="0" xfId="0">
      <alignment vertical="top" wrapText="1"/>
    </xf>
    <xf numFmtId="0" fontId="17" fillId="0" borderId="0" pivotButton="0" quotePrefix="0" xfId="0"/>
    <xf numFmtId="0" fontId="2" fillId="0" borderId="0" applyAlignment="1" pivotButton="0" quotePrefix="0" xfId="0">
      <alignment vertical="top" wrapText="1"/>
    </xf>
    <xf numFmtId="0" fontId="18" fillId="5" borderId="1" applyAlignment="1" pivotButton="0" quotePrefix="0" xfId="0">
      <alignment horizontal="center" vertical="center" wrapText="1"/>
    </xf>
    <xf numFmtId="0" fontId="18" fillId="0" borderId="1" pivotButton="0" quotePrefix="0" xfId="0"/>
    <xf numFmtId="164" fontId="18" fillId="0" borderId="1" pivotButton="0" quotePrefix="0" xfId="0"/>
    <xf numFmtId="0" fontId="19" fillId="3" borderId="1" applyProtection="1" pivotButton="0" quotePrefix="0" xfId="0">
      <protection locked="0" hidden="0"/>
    </xf>
    <xf numFmtId="0" fontId="19" fillId="0" borderId="1" applyProtection="1" pivotButton="0" quotePrefix="0" xfId="0">
      <protection locked="0" hidden="0"/>
    </xf>
    <xf numFmtId="164" fontId="19" fillId="0" borderId="1" applyProtection="1" pivotButton="0" quotePrefix="0" xfId="0">
      <protection locked="0" hidden="0"/>
    </xf>
    <xf numFmtId="164" fontId="19" fillId="0" borderId="1" pivotButton="0" quotePrefix="0" xfId="0"/>
    <xf numFmtId="0" fontId="18" fillId="0" borderId="0" pivotButton="0" quotePrefix="0" xfId="0"/>
    <xf numFmtId="0" fontId="5" fillId="3" borderId="1" applyAlignment="1" applyProtection="1" pivotButton="0" quotePrefix="0" xfId="0">
      <alignment vertical="top" wrapText="1"/>
      <protection locked="0" hidden="0"/>
    </xf>
    <xf numFmtId="0" fontId="4" fillId="0" borderId="0" applyAlignment="1" pivotButton="0" quotePrefix="0" xfId="0">
      <alignment vertical="top" wrapText="1"/>
    </xf>
  </cellXfs>
  <cellStyles count="1">
    <cellStyle name="Normal" xfId="0" builtinId="0" hidden="0"/>
  </cellStyles>
  <dxfs count="1">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styles" Target="styles.xml" Id="rId7" /><Relationship Type="http://schemas.openxmlformats.org/officeDocument/2006/relationships/theme" Target="theme/theme1.xml" Id="rId8"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
  <sheetViews>
    <sheetView showGridLines="0" workbookViewId="0">
      <selection activeCell="A1" sqref="A1"/>
    </sheetView>
  </sheetViews>
  <sheetFormatPr baseColWidth="8" defaultRowHeight="15"/>
  <cols>
    <col width="38" customWidth="1" min="1" max="1"/>
    <col width="42" customWidth="1" min="2" max="2"/>
    <col width="16" customWidth="1" min="3" max="3"/>
    <col hidden="1" width="13" customWidth="1" min="4" max="4"/>
  </cols>
  <sheetData>
    <row r="1">
      <c r="A1" s="1" t="inlineStr">
        <is>
          <t>DATOS DE LA INTERVENCIÓN</t>
        </is>
      </c>
    </row>
    <row r="2">
      <c r="A2" s="2" t="inlineStr">
        <is>
          <t>Rellena sólo las celdas amarillas. Todos los documentos se generan desde aquí.</t>
        </is>
      </c>
      <c r="B2" s="3">
        <f>IF(SUM(D5:D32)=0,"✔ Datos completos","⚠ Faltan "&amp;SUM(D5:D32)&amp;" campo(s) obligatorio(s)")</f>
        <v/>
      </c>
    </row>
    <row r="4">
      <c r="A4" s="4" t="inlineStr">
        <is>
          <t>CLIENTE / EMPRESA DE TRANSPORTES</t>
        </is>
      </c>
      <c r="B4" s="5" t="n"/>
      <c r="C4" s="5" t="n"/>
    </row>
    <row r="5">
      <c r="A5" s="6" t="inlineStr">
        <is>
          <t>Empresa</t>
        </is>
      </c>
      <c r="B5" s="7" t="inlineStr">
        <is>
          <t>COMERCIAL TANK FOODS S.L.</t>
        </is>
      </c>
      <c r="C5" s="8">
        <f>IF(B5="","⚠ Obligatorio","")</f>
        <v/>
      </c>
      <c r="D5" s="2">
        <f>IF(C5&lt;&gt;"",1,0)</f>
        <v/>
      </c>
    </row>
    <row r="6">
      <c r="A6" s="6" t="inlineStr">
        <is>
          <t>Nombre de quien autoriza</t>
        </is>
      </c>
      <c r="B6" s="7" t="inlineStr">
        <is>
          <t>Joan Pla Serra</t>
        </is>
      </c>
      <c r="C6" s="8">
        <f>IF(B6="","⚠ Obligatorio","")</f>
        <v/>
      </c>
      <c r="D6" s="2">
        <f>IF(C6&lt;&gt;"",1,0)</f>
        <v/>
      </c>
    </row>
    <row r="7">
      <c r="A7" s="6" t="inlineStr">
        <is>
          <t>DNI / NIF de quien autoriza</t>
        </is>
      </c>
      <c r="B7" s="7" t="inlineStr">
        <is>
          <t>39887654T</t>
        </is>
      </c>
      <c r="C7" s="8">
        <f>IF(B7="","⚠ Obligatorio","")</f>
        <v/>
      </c>
      <c r="D7" s="2">
        <f>IF(C7&lt;&gt;"",1,0)</f>
        <v/>
      </c>
    </row>
    <row r="8">
      <c r="A8" s="6" t="inlineStr">
        <is>
          <t>Documento de titularidad aportado</t>
        </is>
      </c>
      <c r="B8" s="7" t="inlineStr">
        <is>
          <t>Sí</t>
        </is>
      </c>
      <c r="C8" s="8">
        <f>IF(B8="","⚠ Obligatorio","")</f>
        <v/>
      </c>
      <c r="D8" s="2">
        <f>IF(C8&lt;&gt;"",1,0)</f>
        <v/>
      </c>
    </row>
    <row r="9">
      <c r="A9" s="4" t="inlineStr">
        <is>
          <t>VEHÍCULO</t>
        </is>
      </c>
      <c r="B9" s="5" t="n"/>
      <c r="C9" s="5" t="n"/>
    </row>
    <row r="10">
      <c r="A10" s="6" t="inlineStr">
        <is>
          <t>Matrícula</t>
        </is>
      </c>
      <c r="B10" s="9" t="inlineStr">
        <is>
          <t>7567MPF</t>
        </is>
      </c>
      <c r="C10" s="8">
        <f>IF(B10="","⚠ Obligatorio","")</f>
        <v/>
      </c>
      <c r="D10" s="2">
        <f>IF(C10&lt;&gt;"",1,0)</f>
        <v/>
      </c>
    </row>
    <row r="11">
      <c r="A11" s="6" t="inlineStr">
        <is>
          <t>Nº de bastidor</t>
        </is>
      </c>
      <c r="B11" s="7" t="inlineStr">
        <is>
          <t>VF3XXXXXXXXXXXXXX</t>
        </is>
      </c>
      <c r="C11" s="2" t="inlineStr">
        <is>
          <t>opcional</t>
        </is>
      </c>
      <c r="D11" t="n">
        <v>0</v>
      </c>
    </row>
    <row r="12">
      <c r="A12" s="4" t="inlineStr">
        <is>
          <t>TACÓGRAFO SUSTITUIDO (unidad intravehicular)</t>
        </is>
      </c>
      <c r="B12" s="5" t="n"/>
      <c r="C12" s="5" t="n"/>
    </row>
    <row r="13">
      <c r="A13" s="6" t="inlineStr">
        <is>
          <t>Marca / fabricante</t>
        </is>
      </c>
      <c r="B13" s="7" t="inlineStr">
        <is>
          <t>VDO</t>
        </is>
      </c>
      <c r="C13" s="8">
        <f>IF(B13="","⚠ Obligatorio","")</f>
        <v/>
      </c>
      <c r="D13" s="2">
        <f>IF(C13&lt;&gt;"",1,0)</f>
        <v/>
      </c>
    </row>
    <row r="14">
      <c r="A14" s="6" t="inlineStr">
        <is>
          <t>Modelo de la unidad</t>
        </is>
      </c>
      <c r="B14" s="7" t="inlineStr">
        <is>
          <t>1381.7550303006</t>
        </is>
      </c>
      <c r="C14" s="8">
        <f>IF(B14="","⚠ Obligatorio","")</f>
        <v/>
      </c>
      <c r="D14" s="2">
        <f>IF(C14&lt;&gt;"",1,0)</f>
        <v/>
      </c>
    </row>
    <row r="15">
      <c r="A15" s="6" t="inlineStr">
        <is>
          <t>Nº de serie</t>
        </is>
      </c>
      <c r="B15" s="7" t="inlineStr">
        <is>
          <t>1000567</t>
        </is>
      </c>
      <c r="C15" s="8">
        <f>IF(B15="","⚠ Obligatorio","")</f>
        <v/>
      </c>
      <c r="D15" s="2">
        <f>IF(C15&lt;&gt;"",1,0)</f>
        <v/>
      </c>
    </row>
    <row r="16">
      <c r="A16" s="4" t="inlineStr">
        <is>
          <t>INTERVENCIÓN</t>
        </is>
      </c>
      <c r="B16" s="5" t="n"/>
      <c r="C16" s="5" t="n"/>
    </row>
    <row r="17">
      <c r="A17" s="6" t="inlineStr">
        <is>
          <t>Nº informe / certificado</t>
        </is>
      </c>
      <c r="B17" s="7" t="inlineStr">
        <is>
          <t>E943009003781L</t>
        </is>
      </c>
      <c r="C17" s="8">
        <f>IF(B17="","⚠ Obligatorio","")</f>
        <v/>
      </c>
      <c r="D17" s="2">
        <f>IF(C17&lt;&gt;"",1,0)</f>
        <v/>
      </c>
    </row>
    <row r="18">
      <c r="A18" s="6" t="inlineStr">
        <is>
          <t>Fecha informe</t>
        </is>
      </c>
      <c r="B18" s="10" t="inlineStr">
        <is>
          <t>2025-03-10</t>
        </is>
      </c>
      <c r="C18" s="8">
        <f>IF(B18="","⚠ Obligatorio","")</f>
        <v/>
      </c>
      <c r="D18" s="2">
        <f>IF(C18&lt;&gt;"",1,0)</f>
        <v/>
      </c>
    </row>
    <row r="19">
      <c r="A19" s="6" t="inlineStr">
        <is>
          <t>Fecha entrega al cliente</t>
        </is>
      </c>
      <c r="B19" s="10" t="inlineStr">
        <is>
          <t>2025-03-14</t>
        </is>
      </c>
      <c r="C19" s="8">
        <f>IF(AND($B$20="Intransferibilidad",B19=""),"⚠ Obligatorio","")</f>
        <v/>
      </c>
      <c r="D19" s="2">
        <f>IF(C19&lt;&gt;"",1,0)</f>
        <v/>
      </c>
    </row>
    <row r="20">
      <c r="A20" s="6" t="inlineStr">
        <is>
          <t>Tipo de operación</t>
        </is>
      </c>
      <c r="B20" s="7" t="inlineStr">
        <is>
          <t>Intransferibilidad</t>
        </is>
      </c>
      <c r="C20" s="8">
        <f>IF(B20="","⚠ Obligatorio","")</f>
        <v/>
      </c>
      <c r="D20" s="2">
        <f>IF(C20&lt;&gt;"",1,0)</f>
        <v/>
      </c>
    </row>
    <row r="21">
      <c r="A21" s="6" t="inlineStr">
        <is>
          <t>Técnico que interviene</t>
        </is>
      </c>
      <c r="B21" s="7" t="inlineStr">
        <is>
          <t>Marc Roig</t>
        </is>
      </c>
      <c r="C21" s="8">
        <f>IF(B21="","⚠ Obligatorio","")</f>
        <v/>
      </c>
      <c r="D21" s="2">
        <f>IF(C21&lt;&gt;"",1,0)</f>
        <v/>
      </c>
    </row>
    <row r="22">
      <c r="A22" s="4" t="inlineStr">
        <is>
          <t>TRANSFERENCIA DE DATOS</t>
        </is>
      </c>
      <c r="B22" s="5" t="n"/>
      <c r="C22" s="5" t="n"/>
    </row>
    <row r="23">
      <c r="A23" s="6" t="inlineStr">
        <is>
          <t>Fecha de transferencia</t>
        </is>
      </c>
      <c r="B23" s="10" t="inlineStr">
        <is>
          <t>2025-03-10</t>
        </is>
      </c>
      <c r="C23" s="8">
        <f>IF(AND($B$20="Transferencia correcta",B23=""),"⚠ Obligatorio","")</f>
        <v/>
      </c>
      <c r="D23" s="2">
        <f>IF(C23&lt;&gt;"",1,0)</f>
        <v/>
      </c>
    </row>
    <row r="24">
      <c r="A24" s="6" t="inlineStr">
        <is>
          <t>Fecha de envío</t>
        </is>
      </c>
      <c r="B24" s="10" t="inlineStr">
        <is>
          <t>2025-03-11</t>
        </is>
      </c>
      <c r="C24" s="8">
        <f>IF(AND($B$20="Transferencia correcta",B24=""),"⚠ Obligatorio","")</f>
        <v/>
      </c>
      <c r="D24" s="2">
        <f>IF(C24&lt;&gt;"",1,0)</f>
        <v/>
      </c>
    </row>
    <row r="25">
      <c r="A25" s="4" t="inlineStr">
        <is>
          <t>ENTREGA DE LOS DATOS DESCARGADOS</t>
        </is>
      </c>
      <c r="B25" s="5" t="n"/>
      <c r="C25" s="5" t="n"/>
    </row>
    <row r="26">
      <c r="A26" s="6" t="inlineStr">
        <is>
          <t>Modalidad de entrega</t>
        </is>
      </c>
      <c r="B26" s="7" t="inlineStr">
        <is>
          <t>En mano</t>
        </is>
      </c>
      <c r="C26" s="8">
        <f>IF(AND($B$20="Transferencia correcta",B26=""),"⚠ Obligatorio","")</f>
        <v/>
      </c>
      <c r="D26" s="2">
        <f>IF(C26&lt;&gt;"",1,0)</f>
        <v/>
      </c>
    </row>
    <row r="27">
      <c r="A27" s="4" t="inlineStr">
        <is>
          <t>PERSONA QUE RECIBE EL CERTIFICADO (acuse de intransferibilidad)</t>
        </is>
      </c>
      <c r="B27" s="5" t="n"/>
      <c r="C27" s="5" t="n"/>
    </row>
    <row r="28">
      <c r="A28" s="6" t="inlineStr">
        <is>
          <t>Nombre de la persona receptora</t>
        </is>
      </c>
      <c r="B28" s="7" t="inlineStr">
        <is>
          <t>Marta Solé Vidal</t>
        </is>
      </c>
      <c r="C28" s="8">
        <f>IF(AND($B$20="Intransferibilidad",B28=""),"⚠ Obligatorio","")</f>
        <v/>
      </c>
      <c r="D28" s="2">
        <f>IF(C28&lt;&gt;"",1,0)</f>
        <v/>
      </c>
    </row>
    <row r="29">
      <c r="A29" s="6" t="inlineStr">
        <is>
          <t>DNI de la persona receptora</t>
        </is>
      </c>
      <c r="B29" s="7" t="inlineStr">
        <is>
          <t>40123456X</t>
        </is>
      </c>
      <c r="C29" s="8">
        <f>IF(AND($B$20="Intransferibilidad",B29=""),"⚠ Obligatorio","")</f>
        <v/>
      </c>
      <c r="D29" s="2">
        <f>IF(C29&lt;&gt;"",1,0)</f>
        <v/>
      </c>
    </row>
    <row r="30">
      <c r="A30" s="4" t="inlineStr">
        <is>
          <t>TACÓGRAFO AVERIADO</t>
        </is>
      </c>
      <c r="B30" s="5" t="n"/>
      <c r="C30" s="5" t="n"/>
    </row>
    <row r="31">
      <c r="A31" s="6" t="inlineStr">
        <is>
          <t>Se entrega al cliente</t>
        </is>
      </c>
      <c r="B31" s="7" t="inlineStr">
        <is>
          <t>No</t>
        </is>
      </c>
      <c r="C31" s="8">
        <f>IF(AND($B$20="Intransferibilidad",B31=""),"⚠ Obligatorio","")</f>
        <v/>
      </c>
      <c r="D31" s="2">
        <f>IF(C31&lt;&gt;"",1,0)</f>
        <v/>
      </c>
    </row>
    <row r="32">
      <c r="A32" s="6" t="inlineStr">
        <is>
          <t>Se achatarrará (excluyente)</t>
        </is>
      </c>
      <c r="B32" s="11">
        <f>IF(B31="Sí","No",IF(B31="No","Sí",""))</f>
        <v/>
      </c>
      <c r="C32" s="2" t="inlineStr">
        <is>
          <t>automático</t>
        </is>
      </c>
      <c r="D32" t="n">
        <v>0</v>
      </c>
    </row>
    <row r="34">
      <c r="A34" s="6" t="inlineStr">
        <is>
          <t>Destrucción de los archivos</t>
        </is>
      </c>
      <c r="B34" s="2">
        <f>IF(B23="","","Conservar hasta "&amp;RIGHT("0"&amp;DAY(EDATE(B23,12)),2)&amp;"/"&amp;RIGHT("0"&amp;MONTH(EDATE(B23,12)),2)&amp;"/"&amp;YEAR(EDATE(B23,12))&amp;" y destruir después (nota F, RD 125/2017)")</f>
        <v/>
      </c>
    </row>
  </sheetData>
  <sheetProtection selectLockedCells="0" selectUnlockedCells="0" sheet="1" objects="0" insertRows="1" insertHyperlinks="1" autoFilter="1" scenarios="0" formatColumns="1" deleteColumns="1" insertColumns="1" pivotTables="1" deleteRows="1" formatCells="1" formatRows="1" sort="1"/>
  <conditionalFormatting sqref="B2">
    <cfRule type="expression" priority="1" dxfId="0">
      <formula>SUM(D5:D32)&gt;0</formula>
    </cfRule>
  </conditionalFormatting>
  <conditionalFormatting sqref="B5:B32">
    <cfRule type="expression" priority="2" dxfId="0">
      <formula>$C5="⚠ Obligatorio"</formula>
    </cfRule>
  </conditionalFormatting>
  <dataValidations count="4">
    <dataValidation sqref="B20" showDropDown="0" showInputMessage="0" showErrorMessage="0" allowBlank="1" type="list">
      <formula1>=CONFIGURACION!$A$33:$A$34</formula1>
    </dataValidation>
    <dataValidation sqref="B26" showDropDown="0" showInputMessage="0" showErrorMessage="0" allowBlank="1" type="list">
      <formula1>=CONFIGURACION!$B$35:$B$38</formula1>
    </dataValidation>
    <dataValidation sqref="B8 B31" showDropDown="0" showInputMessage="0" showErrorMessage="0" allowBlank="1" type="list">
      <formula1>=CONFIGURACION!$C$39:$C$40</formula1>
    </dataValidation>
    <dataValidation sqref="B18 B19 B23 B24" showDropDown="0" showInputMessage="0" showErrorMessage="1" allowBlank="1" errorTitle="Fecha no válida" error="Introduce una fecha real en formato dd/mm/aaaa." type="date" operator="between">
      <formula1>DATE(2000,1,1)</formula1>
      <formula2>DATE(2100,12,31)</formula2>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fitToPage="1"/>
  </sheetPr>
  <dimension ref="B1:H30"/>
  <sheetViews>
    <sheetView showGridLines="0" workbookViewId="0">
      <selection activeCell="A1" sqref="A1"/>
    </sheetView>
  </sheetViews>
  <sheetFormatPr baseColWidth="8" defaultRowHeight="15"/>
  <cols>
    <col width="2" customWidth="1" min="1" max="1"/>
    <col width="22" customWidth="1" min="2" max="2"/>
    <col width="12" customWidth="1" min="3" max="3"/>
    <col width="11" customWidth="1" min="4" max="4"/>
    <col width="12" customWidth="1" min="5" max="5"/>
    <col width="16" customWidth="1" min="6" max="6"/>
    <col width="8" customWidth="1" min="7" max="7"/>
    <col width="10" customWidth="1" min="8" max="8"/>
  </cols>
  <sheetData>
    <row r="1">
      <c r="B1" s="12">
        <f>'CONFIGURACION'!$B$4</f>
        <v/>
      </c>
    </row>
    <row r="2" ht="46" customHeight="1">
      <c r="B2" s="13" t="inlineStr">
        <is>
          <t>JUSTIFICANTE PARA AUTORIZAR TODO EL PROCESO DE TRANSFERENCIA, EN EL CAMBIO DE UN TACÓGRAFO DIGITAL CON DESCARGA DE LA MEMORIA INTERNA DEL MISMO.</t>
        </is>
      </c>
    </row>
    <row r="3">
      <c r="B3" s="14">
        <f>"Yo, "&amp;IF('DATOS'!$B$6="","",'DATOS'!$B$6)</f>
        <v/>
      </c>
    </row>
    <row r="4">
      <c r="B4" s="14">
        <f>"con N.I.F. nº: "&amp;IF('DATOS'!$B$7="","",'DATOS'!$B$7)</f>
        <v/>
      </c>
    </row>
    <row r="5">
      <c r="B5" s="14">
        <f>"en representación de la empresa de transportes: "&amp;IF('DATOS'!$B$5="","",'DATOS'!$B$5)</f>
        <v/>
      </c>
    </row>
    <row r="6">
      <c r="B6" s="14">
        <f>"propietaria del vehículo matrícula: "&amp;UPPER(IF('DATOS'!$B$10="","",'DATOS'!$B$10))</f>
        <v/>
      </c>
    </row>
    <row r="7">
      <c r="B7" s="14">
        <f>'CONFIGURACION'!$B$43&amp;'CONFIGURACION'!$B$4&amp;","</f>
        <v/>
      </c>
    </row>
    <row r="8">
      <c r="B8" s="14">
        <f>'CONFIGURACION'!$B$44&amp;'CONFIGURACION'!$B$6&amp;'CONFIGURACION'!$B$45&amp;" "&amp;IF('DATOS'!$B$13="","",'DATOS'!$B$13)</f>
        <v/>
      </c>
    </row>
    <row r="9">
      <c r="B9" s="14">
        <f>"modelo: "&amp;IF('DATOS'!$B$14="","",'DATOS'!$B$14)&amp;"   y número de serie: "&amp;IF('DATOS'!$B$15="","",'DATOS'!$B$15)</f>
        <v/>
      </c>
    </row>
    <row r="10" ht="32" customHeight="1">
      <c r="B10" s="15" t="inlineStr">
        <is>
          <t>instalado en el vehículo de matrícula indicada arriba, que ha de cambiarse, puede ser correctamente descargado en el contenido de su memoria interna.</t>
        </is>
      </c>
    </row>
    <row r="11" ht="46" customHeight="1">
      <c r="B11" s="15" t="inlineStr">
        <is>
          <t>Siendo representante de la empresa propietaria del vehículo o estando autorizado por la Dirección de la misma, doy la indicación y autorizo, al centro técnico de tacógrafos de COMERCIAL SEA, S.A. a la descarga de la mencionada memoria interna del tacógrafo.</t>
        </is>
      </c>
    </row>
    <row r="12" ht="60" customHeight="1">
      <c r="B12" s="15" t="inlineStr">
        <is>
          <t>Quedo advertido, en caso de no ser uno de los representantes de dicha empresa, de que debo autorizar todo este proceso habiendo recibido indicación expresa de la Dirección de la misma a actuar en el sentido en el que me manifiesto y que el proceso no tendrá respaldo legal si yo falseo esta autorización.</t>
        </is>
      </c>
    </row>
    <row r="13" ht="60" customHeight="1">
      <c r="B13" s="15" t="inlineStr">
        <is>
          <t>Doy la indicación, así mismo, de que los archivos de transferencia originados en la mencionada descarga sean entregados a la empresa propietaria del vehículo a través del medio indicado debajo, de entre las cuatro posibles opciones indicadas en el punto 6 de la disposición adicional primera del Real decreto 125/2017 (señálese la opción que proceda)</t>
        </is>
      </c>
    </row>
    <row r="14" ht="30" customHeight="1">
      <c r="B14" s="16" t="inlineStr">
        <is>
          <t>Entrega en mano a una persona designada y autorizada para tal por la empresa propietaria del vehículo de matrícula arriba indicada</t>
        </is>
      </c>
      <c r="H14" s="17">
        <f>IF('DATOS'!$B$26="En mano","X","")</f>
        <v/>
      </c>
    </row>
    <row r="15">
      <c r="B15" s="16" t="inlineStr">
        <is>
          <t>Entrega por medios electrónicos (por ejemplo, email)</t>
        </is>
      </c>
      <c r="H15" s="17">
        <f>IF('DATOS'!$B$26="Email","X","")</f>
        <v/>
      </c>
    </row>
    <row r="16">
      <c r="B16" s="16" t="inlineStr">
        <is>
          <t>Entrega a través de empresa de mensajería</t>
        </is>
      </c>
      <c r="H16" s="17">
        <f>IF('DATOS'!$B$26="Mensajería","X","")</f>
        <v/>
      </c>
    </row>
    <row r="17">
      <c r="B17" s="16" t="inlineStr">
        <is>
          <t>Entrega por correo certificado</t>
        </is>
      </c>
      <c r="H17" s="17">
        <f>IF('DATOS'!$B$26="Correo certificado","X","")</f>
        <v/>
      </c>
    </row>
    <row r="18" ht="46" customHeight="1">
      <c r="B18" s="18">
        <f>'CONFIGURACION'!$B$52</f>
        <v/>
      </c>
    </row>
    <row r="19" ht="32" customHeight="1">
      <c r="B19" s="18">
        <f>'CONFIGURACION'!$B$53</f>
        <v/>
      </c>
    </row>
    <row r="20" ht="32" customHeight="1">
      <c r="B20" s="18">
        <f>'CONFIGURACION'!$B$54</f>
        <v/>
      </c>
    </row>
    <row r="22" ht="30" customHeight="1">
      <c r="B22" s="19" t="inlineStr">
        <is>
          <t>FIRMA DE LA PERSONA QUE AUTORIZA LA DESCARGA Y DA LA INDICACIÓN PARA LA MODALIDAD DE ENTREGA DE LOS ARCHIVOS DE TRANSFERENCIA</t>
        </is>
      </c>
    </row>
    <row r="23">
      <c r="B23" s="14">
        <f>'CONFIGURACION'!$B$46&amp;'CONFIGURACION'!$B$10&amp;'CONFIGURACION'!$B$47&amp;IF('DATOS'!$B$18="","",RIGHT("0"&amp;DAY('DATOS'!$B$18),2)&amp;"/"&amp;RIGHT("0"&amp;MONTH('DATOS'!$B$18),2)&amp;"/"&amp;YEAR('DATOS'!$B$18))</f>
        <v/>
      </c>
    </row>
    <row r="24">
      <c r="B24" s="20">
        <f>IF('DATOS'!$B$20="Transferencia correcta","","— NO APLICA: esta intervención está marcada como Intransferibilidad —")</f>
        <v/>
      </c>
    </row>
    <row r="25" ht="40" customHeight="1"/>
    <row r="26">
      <c r="B26" s="21" t="n"/>
      <c r="F26" s="21" t="n"/>
    </row>
    <row r="27">
      <c r="B27" s="22" t="inlineStr">
        <is>
          <t>Persona que autoriza</t>
        </is>
      </c>
      <c r="F27" s="22">
        <f>"Técnico: "&amp;IF('DATOS'!$B$21="","",'DATOS'!$B$21)</f>
        <v/>
      </c>
    </row>
    <row r="28">
      <c r="F28" s="14">
        <f>'CONFIGURACION'!$B$48&amp;'CONFIGURACION'!$B$4</f>
        <v/>
      </c>
    </row>
    <row r="30">
      <c r="B30" s="23">
        <f>"Formato "&amp;'CONFIGURACION'!$B$22&amp;" · Versión "&amp;'CONFIGURACION'!$B$20&amp;" · Edición "&amp;IF('CONFIGURACION'!$B$21="","",RIGHT("0"&amp;DAY('CONFIGURACION'!$B$21),2)&amp;"/"&amp;RIGHT("0"&amp;MONTH('CONFIGURACION'!$B$21),2)&amp;"/"&amp;YEAR('CONFIGURACION'!$B$21))&amp;" · Elaborado: "&amp;'CONFIGURACION'!$B$16&amp;" · Aprobado: "&amp;'CONFIGURACION'!$B$17&amp;" · UNE 66102:2025"</f>
        <v/>
      </c>
    </row>
  </sheetData>
  <sheetProtection selectLockedCells="0" selectUnlockedCells="0" sheet="1" objects="0" insertRows="1" insertHyperlinks="1" autoFilter="1" scenarios="0" formatColumns="1" deleteColumns="1" insertColumns="1" pivotTables="1" deleteRows="1" formatCells="1" formatRows="1" sort="1"/>
  <mergeCells count="27">
    <mergeCell ref="B9:H9"/>
    <mergeCell ref="B14:G14"/>
    <mergeCell ref="B17:G17"/>
    <mergeCell ref="B6:H6"/>
    <mergeCell ref="B24:H24"/>
    <mergeCell ref="F26:H26"/>
    <mergeCell ref="B30:H30"/>
    <mergeCell ref="B5:H5"/>
    <mergeCell ref="B20:H20"/>
    <mergeCell ref="F28:H28"/>
    <mergeCell ref="B4:H4"/>
    <mergeCell ref="F27:H27"/>
    <mergeCell ref="B7:H7"/>
    <mergeCell ref="B3:H3"/>
    <mergeCell ref="B15:G15"/>
    <mergeCell ref="B22:H22"/>
    <mergeCell ref="B18:H18"/>
    <mergeCell ref="B12:H12"/>
    <mergeCell ref="B26:D26"/>
    <mergeCell ref="B2:H2"/>
    <mergeCell ref="B11:H11"/>
    <mergeCell ref="B23:H23"/>
    <mergeCell ref="B16:G16"/>
    <mergeCell ref="B8:H8"/>
    <mergeCell ref="B13:H13"/>
    <mergeCell ref="B10:H10"/>
    <mergeCell ref="B19:H19"/>
  </mergeCells>
  <pageMargins left="0.7874" right="0.7874" top="0.5906" bottom="0.5906" header="0.5" footer="0.5"/>
  <pageSetup orientation="portrait" paperSize="9" fitToHeight="0" fitToWidth="1"/>
  <headerFooter>
    <oddHeader/>
    <oddFooter>&amp;R&amp;8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G52"/>
  <sheetViews>
    <sheetView showGridLines="0" workbookViewId="0">
      <selection activeCell="A1" sqref="A1"/>
    </sheetView>
  </sheetViews>
  <sheetFormatPr baseColWidth="8" defaultRowHeight="15"/>
  <cols>
    <col width="26" customWidth="1" min="1" max="1"/>
    <col width="10" customWidth="1" min="2" max="2"/>
    <col width="16" customWidth="1" min="3" max="3"/>
    <col width="12" customWidth="1" min="4" max="4"/>
    <col width="14" customWidth="1" min="5" max="5"/>
    <col width="14" customWidth="1" min="6" max="6"/>
    <col width="10" customWidth="1" min="7" max="7"/>
  </cols>
  <sheetData>
    <row r="1">
      <c r="A1" s="12">
        <f>'CONFIGURACION'!$B$4</f>
        <v/>
      </c>
    </row>
    <row r="2">
      <c r="A2" s="14">
        <f>'CONFIGURACION'!$B$5</f>
        <v/>
      </c>
    </row>
    <row r="3">
      <c r="A3" s="14">
        <f>'CONFIGURACION'!$B$6</f>
        <v/>
      </c>
    </row>
    <row r="4">
      <c r="A4" s="14">
        <f>'CONFIGURACION'!$B$7</f>
        <v/>
      </c>
    </row>
    <row r="5">
      <c r="A5" s="14">
        <f>'CONFIGURACION'!$B$8</f>
        <v/>
      </c>
    </row>
    <row r="6">
      <c r="A6" s="14">
        <f>'CONFIGURACION'!$B$9</f>
        <v/>
      </c>
    </row>
    <row r="9">
      <c r="A9" s="24" t="inlineStr">
        <is>
          <t>Acuse de recibo Certificado de Intransferibilidad de datos</t>
        </is>
      </c>
    </row>
    <row r="11">
      <c r="A11" s="12">
        <f>IF('DATOS'!$B$5="","",'DATOS'!$B$5)</f>
        <v/>
      </c>
    </row>
    <row r="14">
      <c r="A14" s="14" t="inlineStr">
        <is>
          <t>Estimados señores:</t>
        </is>
      </c>
    </row>
    <row r="16">
      <c r="A16" s="15" t="inlineStr">
        <is>
          <t>En cumplimiento del requisito expresado en la disposición adicional primera, apartado 10, del Real decreto 125/2017, les remitimos copia del certificado de intransferibilidad correspondiente a la sustitución del tacógrafo:</t>
        </is>
      </c>
    </row>
    <row r="17"/>
    <row r="18"/>
    <row r="20">
      <c r="A20" s="14" t="inlineStr">
        <is>
          <t>Modelo:</t>
        </is>
      </c>
      <c r="C20" s="12">
        <f>IF('DATOS'!$B$14="","",'DATOS'!$B$14)</f>
        <v/>
      </c>
    </row>
    <row r="21">
      <c r="A21" s="14" t="inlineStr">
        <is>
          <t>Nº de Serie:</t>
        </is>
      </c>
      <c r="C21" s="12">
        <f>IF('DATOS'!$B$15="","",'DATOS'!$B$15)</f>
        <v/>
      </c>
    </row>
    <row r="23">
      <c r="A23" s="14" t="inlineStr">
        <is>
          <t>Montado en el vehículo:</t>
        </is>
      </c>
      <c r="C23" s="12">
        <f>UPPER(IF('DATOS'!$B$10="","",'DATOS'!$B$10))</f>
        <v/>
      </c>
    </row>
    <row r="24">
      <c r="A24" s="14" t="inlineStr">
        <is>
          <t>Nº de informe/Certificado:</t>
        </is>
      </c>
      <c r="C24" s="12">
        <f>IF('DATOS'!$B$17="","",'DATOS'!$B$17)</f>
        <v/>
      </c>
    </row>
    <row r="25">
      <c r="A25" s="14" t="inlineStr">
        <is>
          <t>Fecha Informe:</t>
        </is>
      </c>
      <c r="C25" s="25">
        <f>IF('DATOS'!$B$18="","",'DATOS'!$B$18)</f>
        <v/>
      </c>
    </row>
    <row r="27">
      <c r="A27" s="14" t="inlineStr">
        <is>
          <t>Nombre:</t>
        </is>
      </c>
      <c r="C27" s="12">
        <f>IF('DATOS'!$B$28="","",'DATOS'!$B$28)</f>
        <v/>
      </c>
    </row>
    <row r="28">
      <c r="A28" s="14" t="inlineStr">
        <is>
          <t>DNI:</t>
        </is>
      </c>
      <c r="C28" s="12">
        <f>IF('DATOS'!$B$29="","",'DATOS'!$B$29)</f>
        <v/>
      </c>
    </row>
    <row r="30">
      <c r="A30" s="15">
        <f>"En calidad de personal/propietario de la organización de transportes propietaria del vehículo con matrícula "&amp;UPPER(IF('DATOS'!$B$10="","",'DATOS'!$B$10))&amp;" declaro haber recibido el certificado de intransferibilidad de fecha "&amp;IF('DATOS'!$B$18="","",RIGHT("0"&amp;DAY('DATOS'!$B$18),2)&amp;"/"&amp;RIGHT("0"&amp;MONTH('DATOS'!$B$18),2)&amp;"/"&amp;YEAR('DATOS'!$B$18))&amp;" correspondiente a la intervención técnica realizada sobre el vehículo de matrícula antedicha."</f>
        <v/>
      </c>
    </row>
    <row r="31"/>
    <row r="32"/>
    <row r="34">
      <c r="A34" s="15" t="inlineStr">
        <is>
          <t>En el caso de que el receptor no sea propietario de la organización de transportes, se compromete explícitamente, por el presente compromiso firmado, a entregar este documento (el certificado de intransferibilidad) a la propiedad de la citada organización</t>
        </is>
      </c>
    </row>
    <row r="35"/>
    <row r="36"/>
    <row r="38">
      <c r="A38" s="12">
        <f>IF('DATOS'!$B$31="Sí",'CONFIGURACION'!$B$49,"")</f>
        <v/>
      </c>
    </row>
    <row r="39">
      <c r="A39" s="12">
        <f>IF('DATOS'!$B$32="Sí",'CONFIGURACION'!$B$50,"")</f>
        <v/>
      </c>
    </row>
    <row r="41">
      <c r="A41" s="18">
        <f>'CONFIGURACION'!$B$52</f>
        <v/>
      </c>
    </row>
    <row r="42"/>
    <row r="44">
      <c r="A44" s="14" t="inlineStr">
        <is>
          <t>Entregado</t>
        </is>
      </c>
    </row>
    <row r="45">
      <c r="A45" s="14">
        <f>'CONFIGURACION'!$B$10&amp;" a"</f>
        <v/>
      </c>
      <c r="C45" s="25">
        <f>IF('DATOS'!$B$19="","",'DATOS'!$B$19)</f>
        <v/>
      </c>
    </row>
    <row r="47">
      <c r="A47" s="14" t="inlineStr">
        <is>
          <t>Firma:</t>
        </is>
      </c>
    </row>
    <row r="48">
      <c r="B48" s="21" t="n"/>
    </row>
    <row r="50">
      <c r="A50" s="20">
        <f>IF('DATOS'!$B$20="Intransferibilidad","","— NO APLICA: esta intervención está marcada como Transferencia correcta —")</f>
        <v/>
      </c>
    </row>
    <row r="52">
      <c r="A52" s="23">
        <f>"Formato "&amp;'CONFIGURACION'!$B$23&amp;" · Versión "&amp;'CONFIGURACION'!$B$20&amp;" · Edición "&amp;IF('CONFIGURACION'!$B$21="","",RIGHT("0"&amp;DAY('CONFIGURACION'!$B$21),2)&amp;"/"&amp;RIGHT("0"&amp;MONTH('CONFIGURACION'!$B$21),2)&amp;"/"&amp;YEAR('CONFIGURACION'!$B$21))&amp;" · Elaborado: "&amp;'CONFIGURACION'!$B$16&amp;" · Aprobado: "&amp;'CONFIGURACION'!$B$17&amp;" · UNE 66102:2025"</f>
        <v/>
      </c>
    </row>
  </sheetData>
  <sheetProtection selectLockedCells="0" selectUnlockedCells="0" sheet="1" objects="0" insertRows="1" insertHyperlinks="1" autoFilter="1" scenarios="0" formatColumns="1" deleteColumns="1" insertColumns="1" pivotTables="1" deleteRows="1" formatCells="1" formatRows="1" sort="1"/>
  <mergeCells count="17">
    <mergeCell ref="C23:F23"/>
    <mergeCell ref="A9:G9"/>
    <mergeCell ref="A41:G42"/>
    <mergeCell ref="A30:G32"/>
    <mergeCell ref="A16:G18"/>
    <mergeCell ref="C20:F20"/>
    <mergeCell ref="C27:F27"/>
    <mergeCell ref="A39:G39"/>
    <mergeCell ref="B48:E48"/>
    <mergeCell ref="A50:G50"/>
    <mergeCell ref="C21:F21"/>
    <mergeCell ref="A34:G36"/>
    <mergeCell ref="A38:G38"/>
    <mergeCell ref="A52:G52"/>
    <mergeCell ref="C24:F24"/>
    <mergeCell ref="A11:G11"/>
    <mergeCell ref="C28:F28"/>
  </mergeCells>
  <pageMargins left="0.7874" right="0.7874" top="0.5906" bottom="0.5906" header="0.5" footer="0.5"/>
  <pageSetup orientation="portrait" paperSize="9" fitToHeight="0" fitToWidth="1"/>
  <headerFooter>
    <oddHeader/>
    <oddFooter>&amp;R&amp;8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G53"/>
  <sheetViews>
    <sheetView showGridLines="0" workbookViewId="0">
      <selection activeCell="A1" sqref="A1"/>
    </sheetView>
  </sheetViews>
  <sheetFormatPr baseColWidth="8" defaultRowHeight="15"/>
  <cols>
    <col width="26" customWidth="1" min="1" max="1"/>
    <col width="10" customWidth="1" min="2" max="2"/>
    <col width="16" customWidth="1" min="3" max="3"/>
    <col width="12" customWidth="1" min="4" max="4"/>
    <col width="14" customWidth="1" min="5" max="5"/>
    <col width="14" customWidth="1" min="6" max="6"/>
    <col width="10" customWidth="1" min="7" max="7"/>
  </cols>
  <sheetData>
    <row r="1">
      <c r="A1" s="12">
        <f>'CONFIGURACION'!$B$4</f>
        <v/>
      </c>
    </row>
    <row r="2">
      <c r="A2" s="14">
        <f>'CONFIGURACION'!$B$5</f>
        <v/>
      </c>
    </row>
    <row r="3">
      <c r="A3" s="14">
        <f>'CONFIGURACION'!$B$6</f>
        <v/>
      </c>
    </row>
    <row r="4">
      <c r="A4" s="14">
        <f>'CONFIGURACION'!$B$7</f>
        <v/>
      </c>
    </row>
    <row r="5">
      <c r="A5" s="14">
        <f>'CONFIGURACION'!$B$8</f>
        <v/>
      </c>
    </row>
    <row r="6">
      <c r="A6" s="14">
        <f>'CONFIGURACION'!$B$9</f>
        <v/>
      </c>
    </row>
    <row r="9">
      <c r="A9" s="24" t="inlineStr">
        <is>
          <t>Acuse de recibo Certificado de Intransferibilidad de datos</t>
        </is>
      </c>
    </row>
    <row r="11">
      <c r="A11" s="12">
        <f>'CONFIGURACION'!$B$12</f>
        <v/>
      </c>
    </row>
    <row r="14">
      <c r="A14" s="14" t="inlineStr">
        <is>
          <t>Estimados señores:</t>
        </is>
      </c>
    </row>
    <row r="16">
      <c r="A16" s="15" t="inlineStr">
        <is>
          <t>En cumplimiento del requisito expresado en la disposición adicional primera, apartado 10, del Real decreto 125/2017, les remitimos copia del certificado de intransferibilidad correspondiente a la sustitución del tacógrafo:</t>
        </is>
      </c>
    </row>
    <row r="17"/>
    <row r="18"/>
    <row r="20">
      <c r="A20" s="14" t="inlineStr">
        <is>
          <t>Modelo:</t>
        </is>
      </c>
      <c r="C20" s="12">
        <f>IF('DATOS'!$B$14="","",'DATOS'!$B$14)</f>
        <v/>
      </c>
    </row>
    <row r="21">
      <c r="A21" s="14" t="inlineStr">
        <is>
          <t>Nº de Serie:</t>
        </is>
      </c>
      <c r="C21" s="12">
        <f>IF('DATOS'!$B$15="","",'DATOS'!$B$15)</f>
        <v/>
      </c>
    </row>
    <row r="23">
      <c r="A23" s="14" t="inlineStr">
        <is>
          <t>Montado en el vehículo:</t>
        </is>
      </c>
      <c r="C23" s="12">
        <f>UPPER(IF('DATOS'!$B$10="","",'DATOS'!$B$10))</f>
        <v/>
      </c>
    </row>
    <row r="24">
      <c r="A24" s="14" t="inlineStr">
        <is>
          <t>Nº de informe/Certificado:</t>
        </is>
      </c>
      <c r="C24" s="12">
        <f>IF('DATOS'!$B$17="","",'DATOS'!$B$17)</f>
        <v/>
      </c>
    </row>
    <row r="25">
      <c r="A25" s="14" t="inlineStr">
        <is>
          <t>Fecha Informe:</t>
        </is>
      </c>
      <c r="C25" s="25">
        <f>IF('DATOS'!$B$18="","",'DATOS'!$B$18)</f>
        <v/>
      </c>
    </row>
    <row r="28">
      <c r="A28" s="14" t="inlineStr">
        <is>
          <t>Entregado</t>
        </is>
      </c>
    </row>
    <row r="29">
      <c r="A29" s="14">
        <f>'CONFIGURACION'!$B$10&amp;" a"</f>
        <v/>
      </c>
      <c r="C29" s="25">
        <f>IF('DATOS'!$B$19="","",'DATOS'!$B$19)</f>
        <v/>
      </c>
    </row>
    <row r="32">
      <c r="A32" s="20">
        <f>IF('DATOS'!$B$20="Intransferibilidad","","— NO APLICA: esta intervención está marcada como Transferencia correcta —")</f>
        <v/>
      </c>
    </row>
    <row r="34">
      <c r="A34" s="23">
        <f>"Formato "&amp;'CONFIGURACION'!$B$24&amp;" · Versión "&amp;'CONFIGURACION'!$B$20&amp;" · Edición "&amp;IF('CONFIGURACION'!$B$21="","",RIGHT("0"&amp;DAY('CONFIGURACION'!$B$21),2)&amp;"/"&amp;RIGHT("0"&amp;MONTH('CONFIGURACION'!$B$21),2)&amp;"/"&amp;YEAR('CONFIGURACION'!$B$21))&amp;" · Elaborado: "&amp;'CONFIGURACION'!$B$16&amp;" · Aprobado: "&amp;'CONFIGURACION'!$B$17&amp;" · UNE 66102:2025"</f>
        <v/>
      </c>
    </row>
    <row r="38">
      <c r="A38" s="4" t="inlineStr">
        <is>
          <t>TEXTO PARA EL TRÁMITE TELEMÁTICO DE LA GENERALITAT (no se imprime)</t>
        </is>
      </c>
      <c r="B38" s="5" t="n"/>
      <c r="C38" s="5" t="n"/>
      <c r="D38" s="5" t="n"/>
      <c r="E38" s="5" t="n"/>
      <c r="F38" s="5" t="n"/>
      <c r="G38" s="5" t="n"/>
    </row>
    <row r="40">
      <c r="A40" s="6" t="inlineStr">
        <is>
          <t>Assumpte:</t>
        </is>
      </c>
      <c r="C40" s="6" t="inlineStr">
        <is>
          <t>Certificat de Intransferibilitat de dades Tacògraf digital</t>
        </is>
      </c>
    </row>
    <row r="41">
      <c r="A41" s="6" t="inlineStr">
        <is>
          <t>Nom del fitxer:</t>
        </is>
      </c>
      <c r="C41" s="6">
        <f>IF('DATOS'!$B$17="","",'DATOS'!$B$17)&amp;'CONFIGURACION'!$B$51</f>
        <v/>
      </c>
    </row>
    <row r="43">
      <c r="A43" s="6" t="inlineStr">
        <is>
          <t>Exposo / Sol·licito:</t>
        </is>
      </c>
    </row>
    <row r="44">
      <c r="A44" s="2" t="inlineStr">
        <is>
          <t>Copiar esta celda y pegarla en el formulario del trámite.</t>
        </is>
      </c>
    </row>
    <row r="45">
      <c r="A45" s="26">
        <f>'CONFIGURACION'!$B$55&amp;IF('DATOS'!$B$14="","",'DATOS'!$B$14)&amp;'CONFIGURACION'!$B$56&amp;IF('DATOS'!$B$15="","",'DATOS'!$B$15)&amp;'CONFIGURACION'!$B$57&amp;UPPER(IF('DATOS'!$B$10="","",'DATOS'!$B$10))&amp;'CONFIGURACION'!$B$58&amp;IF('DATOS'!$B$17="","",'DATOS'!$B$17)&amp;'CONFIGURACION'!$B$59&amp;IF('DATOS'!$B$18="","",RIGHT("0"&amp;DAY('DATOS'!$B$18),2)&amp;"/"&amp;RIGHT("0"&amp;MONTH('DATOS'!$B$18),2)&amp;"/"&amp;YEAR('DATOS'!$B$18))&amp;'CONFIGURACION'!$B$60</f>
        <v/>
      </c>
    </row>
    <row r="46"/>
    <row r="47"/>
    <row r="48"/>
    <row r="49"/>
    <row r="51">
      <c r="A51" s="6" t="inlineStr">
        <is>
          <t>Enlace al trámite:</t>
        </is>
      </c>
      <c r="C51" s="27">
        <f>HYPERLINK('CONFIGURACION'!$B$29,"Petició genèrica — gencat.cat")</f>
        <v/>
      </c>
    </row>
    <row r="52">
      <c r="A52" s="6" t="inlineStr">
        <is>
          <t>Formulario directo (OVT):</t>
        </is>
      </c>
      <c r="C52" s="27">
        <f>HYPERLINK('CONFIGURACION'!$B$30,"Obrir el formulari a l’OVT")</f>
        <v/>
      </c>
    </row>
    <row r="53">
      <c r="A53" s="6" t="inlineStr">
        <is>
          <t>Email del centro:</t>
        </is>
      </c>
      <c r="C53" s="6">
        <f>'CONFIGURACION'!$B$11</f>
        <v/>
      </c>
    </row>
  </sheetData>
  <sheetProtection selectLockedCells="0" selectUnlockedCells="0" sheet="1" objects="0" insertRows="1" insertHyperlinks="1" autoFilter="1" scenarios="0" formatColumns="1" deleteColumns="1" insertColumns="1" pivotTables="1" deleteRows="1" formatCells="1" formatRows="1" sort="1"/>
  <mergeCells count="15">
    <mergeCell ref="A32:G32"/>
    <mergeCell ref="C23:F23"/>
    <mergeCell ref="A9:G9"/>
    <mergeCell ref="A16:G18"/>
    <mergeCell ref="C20:F20"/>
    <mergeCell ref="A34:G34"/>
    <mergeCell ref="C52:G52"/>
    <mergeCell ref="C51:G51"/>
    <mergeCell ref="C21:F21"/>
    <mergeCell ref="C41:G41"/>
    <mergeCell ref="A45:G49"/>
    <mergeCell ref="C53:G53"/>
    <mergeCell ref="C24:F24"/>
    <mergeCell ref="C40:G40"/>
    <mergeCell ref="A11:G11"/>
  </mergeCells>
  <pageMargins left="0.7874" right="0.7874" top="0.5906" bottom="0.5906" header="0.5" footer="0.5"/>
  <pageSetup orientation="portrait" paperSize="9" fitToHeight="0" fitToWidth="1"/>
  <headerFooter>
    <oddHeader/>
    <oddFooter>&amp;R&amp;8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O39"/>
  <sheetViews>
    <sheetView showGridLines="0" workbookViewId="0">
      <pane ySplit="4" topLeftCell="A5" activePane="bottomLeft" state="frozen"/>
      <selection pane="bottomLeft" activeCell="A1" sqref="A1"/>
    </sheetView>
  </sheetViews>
  <sheetFormatPr baseColWidth="8" defaultRowHeight="15"/>
  <cols>
    <col width="16" customWidth="1" min="1" max="1"/>
    <col width="13" customWidth="1" min="2" max="2"/>
    <col width="11" customWidth="1" min="3" max="3"/>
    <col width="18" customWidth="1" min="4" max="4"/>
    <col width="12" customWidth="1" min="5" max="5"/>
    <col width="24" customWidth="1" min="6" max="6"/>
    <col width="14" customWidth="1" min="7" max="7"/>
    <col width="14" customWidth="1" min="8" max="8"/>
    <col width="12" customWidth="1" min="9" max="9"/>
    <col width="13" customWidth="1" min="10" max="10"/>
    <col width="13" customWidth="1" min="11" max="11"/>
    <col width="20" customWidth="1" min="12" max="12"/>
    <col width="18" customWidth="1" min="13" max="13"/>
    <col width="26" customWidth="1" min="14" max="14"/>
    <col width="20" customWidth="1" min="15" max="15"/>
  </cols>
  <sheetData>
    <row r="1">
      <c r="A1" s="1" t="inlineStr">
        <is>
          <t>REGISTRO DE TRANSFERENCIAS Y DE DESTRUCCIÓN DE ARCHIVOS</t>
        </is>
      </c>
    </row>
    <row r="2" ht="30" customHeight="1">
      <c r="A2" s="28" t="inlineStr">
        <is>
          <t>UNE 66102:2025, 7.5.1 d) y 8.5.1 — registro de transferencias realizadas y documento de destrucción al año. La fila 5 se rellena sola con la intervención en curso; cópiala como valores a la primera fila libre al cerrar cada expediente.</t>
        </is>
      </c>
    </row>
    <row r="4" ht="34" customHeight="1">
      <c r="A4" s="29" t="inlineStr">
        <is>
          <t>Nº informe</t>
        </is>
      </c>
      <c r="B4" s="29" t="inlineStr">
        <is>
          <t>Fecha transferencia</t>
        </is>
      </c>
      <c r="C4" s="29" t="inlineStr">
        <is>
          <t>Matrícula</t>
        </is>
      </c>
      <c r="D4" s="29" t="inlineStr">
        <is>
          <t>Nº bastidor</t>
        </is>
      </c>
      <c r="E4" s="29" t="inlineStr">
        <is>
          <t>Nº serie UIV</t>
        </is>
      </c>
      <c r="F4" s="29" t="inlineStr">
        <is>
          <t>Empresa</t>
        </is>
      </c>
      <c r="G4" s="29" t="inlineStr">
        <is>
          <t>Técnico</t>
        </is>
      </c>
      <c r="H4" s="29" t="inlineStr">
        <is>
          <t>Modalidad entrega</t>
        </is>
      </c>
      <c r="I4" s="29" t="inlineStr">
        <is>
          <t>Fecha envío</t>
        </is>
      </c>
      <c r="J4" s="29" t="inlineStr">
        <is>
          <t>Destruir a partir de</t>
        </is>
      </c>
      <c r="K4" s="29" t="inlineStr">
        <is>
          <t>Fecha destrucción</t>
        </is>
      </c>
      <c r="L4" s="29" t="inlineStr">
        <is>
          <t>Método de destrucción</t>
        </is>
      </c>
      <c r="M4" s="29" t="inlineStr">
        <is>
          <t>Persona que destruye</t>
        </is>
      </c>
      <c r="N4" s="29" t="inlineStr">
        <is>
          <t>Firma digital del archivo (hash)</t>
        </is>
      </c>
      <c r="O4" s="29" t="inlineStr">
        <is>
          <t>Estado</t>
        </is>
      </c>
    </row>
    <row r="5">
      <c r="A5" s="30">
        <f>IF('DATOS'!$B$17="","",'DATOS'!$B$17)</f>
        <v/>
      </c>
      <c r="B5" s="31">
        <f>IF('DATOS'!$B$23="","",'DATOS'!$B$23)</f>
        <v/>
      </c>
      <c r="C5" s="30">
        <f>UPPER(IF('DATOS'!$B$10="","",'DATOS'!$B$10))</f>
        <v/>
      </c>
      <c r="D5" s="30">
        <f>IF('DATOS'!$B$11="","",'DATOS'!$B$11)</f>
        <v/>
      </c>
      <c r="E5" s="30">
        <f>IF('DATOS'!$B$15="","",'DATOS'!$B$15)</f>
        <v/>
      </c>
      <c r="F5" s="30">
        <f>IF('DATOS'!$B$5="","",'DATOS'!$B$5)</f>
        <v/>
      </c>
      <c r="G5" s="30">
        <f>IF('DATOS'!$B$21="","",'DATOS'!$B$21)</f>
        <v/>
      </c>
      <c r="H5" s="30">
        <f>IF('DATOS'!$B$26="","",'DATOS'!$B$26)</f>
        <v/>
      </c>
      <c r="I5" s="31">
        <f>IF('DATOS'!$B$24="","",'DATOS'!$B$24)</f>
        <v/>
      </c>
      <c r="J5" s="31">
        <f>IF('DATOS'!$B$23="","",EDATE('DATOS'!$B$23,12))</f>
        <v/>
      </c>
      <c r="K5" s="32" t="n"/>
      <c r="L5" s="32" t="n"/>
      <c r="M5" s="32" t="n"/>
      <c r="N5" s="32" t="n"/>
      <c r="O5" s="2" t="inlineStr">
        <is>
          <t>← intervención en curso (automática)</t>
        </is>
      </c>
    </row>
    <row r="6">
      <c r="A6" s="33" t="n"/>
      <c r="B6" s="34" t="n"/>
      <c r="C6" s="33" t="n"/>
      <c r="D6" s="33" t="n"/>
      <c r="E6" s="33" t="n"/>
      <c r="F6" s="33" t="n"/>
      <c r="G6" s="33" t="n"/>
      <c r="H6" s="33" t="n"/>
      <c r="I6" s="34" t="n"/>
      <c r="J6" s="35">
        <f>IF(B6="","",EDATE(B6,12))</f>
        <v/>
      </c>
      <c r="K6" s="34" t="n"/>
      <c r="L6" s="33" t="n"/>
      <c r="M6" s="33" t="n"/>
      <c r="N6" s="33" t="n"/>
      <c r="O6" s="36">
        <f>IF(B6="","",IF(K6&lt;&gt;"","Destruido",IF(TODAY()&gt;EDATE(B6,12),"⚠ PENDIENTE DE DESTRUIR","En custodia")))</f>
        <v/>
      </c>
    </row>
    <row r="7">
      <c r="A7" s="33" t="n"/>
      <c r="B7" s="34" t="n"/>
      <c r="C7" s="33" t="n"/>
      <c r="D7" s="33" t="n"/>
      <c r="E7" s="33" t="n"/>
      <c r="F7" s="33" t="n"/>
      <c r="G7" s="33" t="n"/>
      <c r="H7" s="33" t="n"/>
      <c r="I7" s="34" t="n"/>
      <c r="J7" s="35">
        <f>IF(B7="","",EDATE(B7,12))</f>
        <v/>
      </c>
      <c r="K7" s="34" t="n"/>
      <c r="L7" s="33" t="n"/>
      <c r="M7" s="33" t="n"/>
      <c r="N7" s="33" t="n"/>
      <c r="O7" s="36">
        <f>IF(B7="","",IF(K7&lt;&gt;"","Destruido",IF(TODAY()&gt;EDATE(B7,12),"⚠ PENDIENTE DE DESTRUIR","En custodia")))</f>
        <v/>
      </c>
    </row>
    <row r="8">
      <c r="A8" s="33" t="n"/>
      <c r="B8" s="34" t="n"/>
      <c r="C8" s="33" t="n"/>
      <c r="D8" s="33" t="n"/>
      <c r="E8" s="33" t="n"/>
      <c r="F8" s="33" t="n"/>
      <c r="G8" s="33" t="n"/>
      <c r="H8" s="33" t="n"/>
      <c r="I8" s="34" t="n"/>
      <c r="J8" s="35">
        <f>IF(B8="","",EDATE(B8,12))</f>
        <v/>
      </c>
      <c r="K8" s="34" t="n"/>
      <c r="L8" s="33" t="n"/>
      <c r="M8" s="33" t="n"/>
      <c r="N8" s="33" t="n"/>
      <c r="O8" s="36">
        <f>IF(B8="","",IF(K8&lt;&gt;"","Destruido",IF(TODAY()&gt;EDATE(B8,12),"⚠ PENDIENTE DE DESTRUIR","En custodia")))</f>
        <v/>
      </c>
    </row>
    <row r="9">
      <c r="A9" s="33" t="n"/>
      <c r="B9" s="34" t="n"/>
      <c r="C9" s="33" t="n"/>
      <c r="D9" s="33" t="n"/>
      <c r="E9" s="33" t="n"/>
      <c r="F9" s="33" t="n"/>
      <c r="G9" s="33" t="n"/>
      <c r="H9" s="33" t="n"/>
      <c r="I9" s="34" t="n"/>
      <c r="J9" s="35">
        <f>IF(B9="","",EDATE(B9,12))</f>
        <v/>
      </c>
      <c r="K9" s="34" t="n"/>
      <c r="L9" s="33" t="n"/>
      <c r="M9" s="33" t="n"/>
      <c r="N9" s="33" t="n"/>
      <c r="O9" s="36">
        <f>IF(B9="","",IF(K9&lt;&gt;"","Destruido",IF(TODAY()&gt;EDATE(B9,12),"⚠ PENDIENTE DE DESTRUIR","En custodia")))</f>
        <v/>
      </c>
    </row>
    <row r="10">
      <c r="A10" s="33" t="n"/>
      <c r="B10" s="34" t="n"/>
      <c r="C10" s="33" t="n"/>
      <c r="D10" s="33" t="n"/>
      <c r="E10" s="33" t="n"/>
      <c r="F10" s="33" t="n"/>
      <c r="G10" s="33" t="n"/>
      <c r="H10" s="33" t="n"/>
      <c r="I10" s="34" t="n"/>
      <c r="J10" s="35">
        <f>IF(B10="","",EDATE(B10,12))</f>
        <v/>
      </c>
      <c r="K10" s="34" t="n"/>
      <c r="L10" s="33" t="n"/>
      <c r="M10" s="33" t="n"/>
      <c r="N10" s="33" t="n"/>
      <c r="O10" s="36">
        <f>IF(B10="","",IF(K10&lt;&gt;"","Destruido",IF(TODAY()&gt;EDATE(B10,12),"⚠ PENDIENTE DE DESTRUIR","En custodia")))</f>
        <v/>
      </c>
    </row>
    <row r="11">
      <c r="A11" s="33" t="n"/>
      <c r="B11" s="34" t="n"/>
      <c r="C11" s="33" t="n"/>
      <c r="D11" s="33" t="n"/>
      <c r="E11" s="33" t="n"/>
      <c r="F11" s="33" t="n"/>
      <c r="G11" s="33" t="n"/>
      <c r="H11" s="33" t="n"/>
      <c r="I11" s="34" t="n"/>
      <c r="J11" s="35">
        <f>IF(B11="","",EDATE(B11,12))</f>
        <v/>
      </c>
      <c r="K11" s="34" t="n"/>
      <c r="L11" s="33" t="n"/>
      <c r="M11" s="33" t="n"/>
      <c r="N11" s="33" t="n"/>
      <c r="O11" s="36">
        <f>IF(B11="","",IF(K11&lt;&gt;"","Destruido",IF(TODAY()&gt;EDATE(B11,12),"⚠ PENDIENTE DE DESTRUIR","En custodia")))</f>
        <v/>
      </c>
    </row>
    <row r="12">
      <c r="A12" s="33" t="n"/>
      <c r="B12" s="34" t="n"/>
      <c r="C12" s="33" t="n"/>
      <c r="D12" s="33" t="n"/>
      <c r="E12" s="33" t="n"/>
      <c r="F12" s="33" t="n"/>
      <c r="G12" s="33" t="n"/>
      <c r="H12" s="33" t="n"/>
      <c r="I12" s="34" t="n"/>
      <c r="J12" s="35">
        <f>IF(B12="","",EDATE(B12,12))</f>
        <v/>
      </c>
      <c r="K12" s="34" t="n"/>
      <c r="L12" s="33" t="n"/>
      <c r="M12" s="33" t="n"/>
      <c r="N12" s="33" t="n"/>
      <c r="O12" s="36">
        <f>IF(B12="","",IF(K12&lt;&gt;"","Destruido",IF(TODAY()&gt;EDATE(B12,12),"⚠ PENDIENTE DE DESTRUIR","En custodia")))</f>
        <v/>
      </c>
    </row>
    <row r="13">
      <c r="A13" s="33" t="n"/>
      <c r="B13" s="34" t="n"/>
      <c r="C13" s="33" t="n"/>
      <c r="D13" s="33" t="n"/>
      <c r="E13" s="33" t="n"/>
      <c r="F13" s="33" t="n"/>
      <c r="G13" s="33" t="n"/>
      <c r="H13" s="33" t="n"/>
      <c r="I13" s="34" t="n"/>
      <c r="J13" s="35">
        <f>IF(B13="","",EDATE(B13,12))</f>
        <v/>
      </c>
      <c r="K13" s="34" t="n"/>
      <c r="L13" s="33" t="n"/>
      <c r="M13" s="33" t="n"/>
      <c r="N13" s="33" t="n"/>
      <c r="O13" s="36">
        <f>IF(B13="","",IF(K13&lt;&gt;"","Destruido",IF(TODAY()&gt;EDATE(B13,12),"⚠ PENDIENTE DE DESTRUIR","En custodia")))</f>
        <v/>
      </c>
    </row>
    <row r="14">
      <c r="A14" s="33" t="n"/>
      <c r="B14" s="34" t="n"/>
      <c r="C14" s="33" t="n"/>
      <c r="D14" s="33" t="n"/>
      <c r="E14" s="33" t="n"/>
      <c r="F14" s="33" t="n"/>
      <c r="G14" s="33" t="n"/>
      <c r="H14" s="33" t="n"/>
      <c r="I14" s="34" t="n"/>
      <c r="J14" s="35">
        <f>IF(B14="","",EDATE(B14,12))</f>
        <v/>
      </c>
      <c r="K14" s="34" t="n"/>
      <c r="L14" s="33" t="n"/>
      <c r="M14" s="33" t="n"/>
      <c r="N14" s="33" t="n"/>
      <c r="O14" s="36">
        <f>IF(B14="","",IF(K14&lt;&gt;"","Destruido",IF(TODAY()&gt;EDATE(B14,12),"⚠ PENDIENTE DE DESTRUIR","En custodia")))</f>
        <v/>
      </c>
    </row>
    <row r="15">
      <c r="A15" s="33" t="n"/>
      <c r="B15" s="34" t="n"/>
      <c r="C15" s="33" t="n"/>
      <c r="D15" s="33" t="n"/>
      <c r="E15" s="33" t="n"/>
      <c r="F15" s="33" t="n"/>
      <c r="G15" s="33" t="n"/>
      <c r="H15" s="33" t="n"/>
      <c r="I15" s="34" t="n"/>
      <c r="J15" s="35">
        <f>IF(B15="","",EDATE(B15,12))</f>
        <v/>
      </c>
      <c r="K15" s="34" t="n"/>
      <c r="L15" s="33" t="n"/>
      <c r="M15" s="33" t="n"/>
      <c r="N15" s="33" t="n"/>
      <c r="O15" s="36">
        <f>IF(B15="","",IF(K15&lt;&gt;"","Destruido",IF(TODAY()&gt;EDATE(B15,12),"⚠ PENDIENTE DE DESTRUIR","En custodia")))</f>
        <v/>
      </c>
    </row>
    <row r="16">
      <c r="A16" s="33" t="n"/>
      <c r="B16" s="34" t="n"/>
      <c r="C16" s="33" t="n"/>
      <c r="D16" s="33" t="n"/>
      <c r="E16" s="33" t="n"/>
      <c r="F16" s="33" t="n"/>
      <c r="G16" s="33" t="n"/>
      <c r="H16" s="33" t="n"/>
      <c r="I16" s="34" t="n"/>
      <c r="J16" s="35">
        <f>IF(B16="","",EDATE(B16,12))</f>
        <v/>
      </c>
      <c r="K16" s="34" t="n"/>
      <c r="L16" s="33" t="n"/>
      <c r="M16" s="33" t="n"/>
      <c r="N16" s="33" t="n"/>
      <c r="O16" s="36">
        <f>IF(B16="","",IF(K16&lt;&gt;"","Destruido",IF(TODAY()&gt;EDATE(B16,12),"⚠ PENDIENTE DE DESTRUIR","En custodia")))</f>
        <v/>
      </c>
    </row>
    <row r="17">
      <c r="A17" s="33" t="n"/>
      <c r="B17" s="34" t="n"/>
      <c r="C17" s="33" t="n"/>
      <c r="D17" s="33" t="n"/>
      <c r="E17" s="33" t="n"/>
      <c r="F17" s="33" t="n"/>
      <c r="G17" s="33" t="n"/>
      <c r="H17" s="33" t="n"/>
      <c r="I17" s="34" t="n"/>
      <c r="J17" s="35">
        <f>IF(B17="","",EDATE(B17,12))</f>
        <v/>
      </c>
      <c r="K17" s="34" t="n"/>
      <c r="L17" s="33" t="n"/>
      <c r="M17" s="33" t="n"/>
      <c r="N17" s="33" t="n"/>
      <c r="O17" s="36">
        <f>IF(B17="","",IF(K17&lt;&gt;"","Destruido",IF(TODAY()&gt;EDATE(B17,12),"⚠ PENDIENTE DE DESTRUIR","En custodia")))</f>
        <v/>
      </c>
    </row>
    <row r="18">
      <c r="A18" s="33" t="n"/>
      <c r="B18" s="34" t="n"/>
      <c r="C18" s="33" t="n"/>
      <c r="D18" s="33" t="n"/>
      <c r="E18" s="33" t="n"/>
      <c r="F18" s="33" t="n"/>
      <c r="G18" s="33" t="n"/>
      <c r="H18" s="33" t="n"/>
      <c r="I18" s="34" t="n"/>
      <c r="J18" s="35">
        <f>IF(B18="","",EDATE(B18,12))</f>
        <v/>
      </c>
      <c r="K18" s="34" t="n"/>
      <c r="L18" s="33" t="n"/>
      <c r="M18" s="33" t="n"/>
      <c r="N18" s="33" t="n"/>
      <c r="O18" s="36">
        <f>IF(B18="","",IF(K18&lt;&gt;"","Destruido",IF(TODAY()&gt;EDATE(B18,12),"⚠ PENDIENTE DE DESTRUIR","En custodia")))</f>
        <v/>
      </c>
    </row>
    <row r="19">
      <c r="A19" s="33" t="n"/>
      <c r="B19" s="34" t="n"/>
      <c r="C19" s="33" t="n"/>
      <c r="D19" s="33" t="n"/>
      <c r="E19" s="33" t="n"/>
      <c r="F19" s="33" t="n"/>
      <c r="G19" s="33" t="n"/>
      <c r="H19" s="33" t="n"/>
      <c r="I19" s="34" t="n"/>
      <c r="J19" s="35">
        <f>IF(B19="","",EDATE(B19,12))</f>
        <v/>
      </c>
      <c r="K19" s="34" t="n"/>
      <c r="L19" s="33" t="n"/>
      <c r="M19" s="33" t="n"/>
      <c r="N19" s="33" t="n"/>
      <c r="O19" s="36">
        <f>IF(B19="","",IF(K19&lt;&gt;"","Destruido",IF(TODAY()&gt;EDATE(B19,12),"⚠ PENDIENTE DE DESTRUIR","En custodia")))</f>
        <v/>
      </c>
    </row>
    <row r="20">
      <c r="A20" s="33" t="n"/>
      <c r="B20" s="34" t="n"/>
      <c r="C20" s="33" t="n"/>
      <c r="D20" s="33" t="n"/>
      <c r="E20" s="33" t="n"/>
      <c r="F20" s="33" t="n"/>
      <c r="G20" s="33" t="n"/>
      <c r="H20" s="33" t="n"/>
      <c r="I20" s="34" t="n"/>
      <c r="J20" s="35">
        <f>IF(B20="","",EDATE(B20,12))</f>
        <v/>
      </c>
      <c r="K20" s="34" t="n"/>
      <c r="L20" s="33" t="n"/>
      <c r="M20" s="33" t="n"/>
      <c r="N20" s="33" t="n"/>
      <c r="O20" s="36">
        <f>IF(B20="","",IF(K20&lt;&gt;"","Destruido",IF(TODAY()&gt;EDATE(B20,12),"⚠ PENDIENTE DE DESTRUIR","En custodia")))</f>
        <v/>
      </c>
    </row>
    <row r="21">
      <c r="A21" s="33" t="n"/>
      <c r="B21" s="34" t="n"/>
      <c r="C21" s="33" t="n"/>
      <c r="D21" s="33" t="n"/>
      <c r="E21" s="33" t="n"/>
      <c r="F21" s="33" t="n"/>
      <c r="G21" s="33" t="n"/>
      <c r="H21" s="33" t="n"/>
      <c r="I21" s="34" t="n"/>
      <c r="J21" s="35">
        <f>IF(B21="","",EDATE(B21,12))</f>
        <v/>
      </c>
      <c r="K21" s="34" t="n"/>
      <c r="L21" s="33" t="n"/>
      <c r="M21" s="33" t="n"/>
      <c r="N21" s="33" t="n"/>
      <c r="O21" s="36">
        <f>IF(B21="","",IF(K21&lt;&gt;"","Destruido",IF(TODAY()&gt;EDATE(B21,12),"⚠ PENDIENTE DE DESTRUIR","En custodia")))</f>
        <v/>
      </c>
    </row>
    <row r="22">
      <c r="A22" s="33" t="n"/>
      <c r="B22" s="34" t="n"/>
      <c r="C22" s="33" t="n"/>
      <c r="D22" s="33" t="n"/>
      <c r="E22" s="33" t="n"/>
      <c r="F22" s="33" t="n"/>
      <c r="G22" s="33" t="n"/>
      <c r="H22" s="33" t="n"/>
      <c r="I22" s="34" t="n"/>
      <c r="J22" s="35">
        <f>IF(B22="","",EDATE(B22,12))</f>
        <v/>
      </c>
      <c r="K22" s="34" t="n"/>
      <c r="L22" s="33" t="n"/>
      <c r="M22" s="33" t="n"/>
      <c r="N22" s="33" t="n"/>
      <c r="O22" s="36">
        <f>IF(B22="","",IF(K22&lt;&gt;"","Destruido",IF(TODAY()&gt;EDATE(B22,12),"⚠ PENDIENTE DE DESTRUIR","En custodia")))</f>
        <v/>
      </c>
    </row>
    <row r="23">
      <c r="A23" s="33" t="n"/>
      <c r="B23" s="34" t="n"/>
      <c r="C23" s="33" t="n"/>
      <c r="D23" s="33" t="n"/>
      <c r="E23" s="33" t="n"/>
      <c r="F23" s="33" t="n"/>
      <c r="G23" s="33" t="n"/>
      <c r="H23" s="33" t="n"/>
      <c r="I23" s="34" t="n"/>
      <c r="J23" s="35">
        <f>IF(B23="","",EDATE(B23,12))</f>
        <v/>
      </c>
      <c r="K23" s="34" t="n"/>
      <c r="L23" s="33" t="n"/>
      <c r="M23" s="33" t="n"/>
      <c r="N23" s="33" t="n"/>
      <c r="O23" s="36">
        <f>IF(B23="","",IF(K23&lt;&gt;"","Destruido",IF(TODAY()&gt;EDATE(B23,12),"⚠ PENDIENTE DE DESTRUIR","En custodia")))</f>
        <v/>
      </c>
    </row>
    <row r="24">
      <c r="A24" s="33" t="n"/>
      <c r="B24" s="34" t="n"/>
      <c r="C24" s="33" t="n"/>
      <c r="D24" s="33" t="n"/>
      <c r="E24" s="33" t="n"/>
      <c r="F24" s="33" t="n"/>
      <c r="G24" s="33" t="n"/>
      <c r="H24" s="33" t="n"/>
      <c r="I24" s="34" t="n"/>
      <c r="J24" s="35">
        <f>IF(B24="","",EDATE(B24,12))</f>
        <v/>
      </c>
      <c r="K24" s="34" t="n"/>
      <c r="L24" s="33" t="n"/>
      <c r="M24" s="33" t="n"/>
      <c r="N24" s="33" t="n"/>
      <c r="O24" s="36">
        <f>IF(B24="","",IF(K24&lt;&gt;"","Destruido",IF(TODAY()&gt;EDATE(B24,12),"⚠ PENDIENTE DE DESTRUIR","En custodia")))</f>
        <v/>
      </c>
    </row>
    <row r="25">
      <c r="A25" s="33" t="n"/>
      <c r="B25" s="34" t="n"/>
      <c r="C25" s="33" t="n"/>
      <c r="D25" s="33" t="n"/>
      <c r="E25" s="33" t="n"/>
      <c r="F25" s="33" t="n"/>
      <c r="G25" s="33" t="n"/>
      <c r="H25" s="33" t="n"/>
      <c r="I25" s="34" t="n"/>
      <c r="J25" s="35">
        <f>IF(B25="","",EDATE(B25,12))</f>
        <v/>
      </c>
      <c r="K25" s="34" t="n"/>
      <c r="L25" s="33" t="n"/>
      <c r="M25" s="33" t="n"/>
      <c r="N25" s="33" t="n"/>
      <c r="O25" s="36">
        <f>IF(B25="","",IF(K25&lt;&gt;"","Destruido",IF(TODAY()&gt;EDATE(B25,12),"⚠ PENDIENTE DE DESTRUIR","En custodia")))</f>
        <v/>
      </c>
    </row>
    <row r="26">
      <c r="A26" s="33" t="n"/>
      <c r="B26" s="34" t="n"/>
      <c r="C26" s="33" t="n"/>
      <c r="D26" s="33" t="n"/>
      <c r="E26" s="33" t="n"/>
      <c r="F26" s="33" t="n"/>
      <c r="G26" s="33" t="n"/>
      <c r="H26" s="33" t="n"/>
      <c r="I26" s="34" t="n"/>
      <c r="J26" s="35">
        <f>IF(B26="","",EDATE(B26,12))</f>
        <v/>
      </c>
      <c r="K26" s="34" t="n"/>
      <c r="L26" s="33" t="n"/>
      <c r="M26" s="33" t="n"/>
      <c r="N26" s="33" t="n"/>
      <c r="O26" s="36">
        <f>IF(B26="","",IF(K26&lt;&gt;"","Destruido",IF(TODAY()&gt;EDATE(B26,12),"⚠ PENDIENTE DE DESTRUIR","En custodia")))</f>
        <v/>
      </c>
    </row>
    <row r="27">
      <c r="A27" s="33" t="n"/>
      <c r="B27" s="34" t="n"/>
      <c r="C27" s="33" t="n"/>
      <c r="D27" s="33" t="n"/>
      <c r="E27" s="33" t="n"/>
      <c r="F27" s="33" t="n"/>
      <c r="G27" s="33" t="n"/>
      <c r="H27" s="33" t="n"/>
      <c r="I27" s="34" t="n"/>
      <c r="J27" s="35">
        <f>IF(B27="","",EDATE(B27,12))</f>
        <v/>
      </c>
      <c r="K27" s="34" t="n"/>
      <c r="L27" s="33" t="n"/>
      <c r="M27" s="33" t="n"/>
      <c r="N27" s="33" t="n"/>
      <c r="O27" s="36">
        <f>IF(B27="","",IF(K27&lt;&gt;"","Destruido",IF(TODAY()&gt;EDATE(B27,12),"⚠ PENDIENTE DE DESTRUIR","En custodia")))</f>
        <v/>
      </c>
    </row>
    <row r="28">
      <c r="A28" s="33" t="n"/>
      <c r="B28" s="34" t="n"/>
      <c r="C28" s="33" t="n"/>
      <c r="D28" s="33" t="n"/>
      <c r="E28" s="33" t="n"/>
      <c r="F28" s="33" t="n"/>
      <c r="G28" s="33" t="n"/>
      <c r="H28" s="33" t="n"/>
      <c r="I28" s="34" t="n"/>
      <c r="J28" s="35">
        <f>IF(B28="","",EDATE(B28,12))</f>
        <v/>
      </c>
      <c r="K28" s="34" t="n"/>
      <c r="L28" s="33" t="n"/>
      <c r="M28" s="33" t="n"/>
      <c r="N28" s="33" t="n"/>
      <c r="O28" s="36">
        <f>IF(B28="","",IF(K28&lt;&gt;"","Destruido",IF(TODAY()&gt;EDATE(B28,12),"⚠ PENDIENTE DE DESTRUIR","En custodia")))</f>
        <v/>
      </c>
    </row>
    <row r="29">
      <c r="A29" s="33" t="n"/>
      <c r="B29" s="34" t="n"/>
      <c r="C29" s="33" t="n"/>
      <c r="D29" s="33" t="n"/>
      <c r="E29" s="33" t="n"/>
      <c r="F29" s="33" t="n"/>
      <c r="G29" s="33" t="n"/>
      <c r="H29" s="33" t="n"/>
      <c r="I29" s="34" t="n"/>
      <c r="J29" s="35">
        <f>IF(B29="","",EDATE(B29,12))</f>
        <v/>
      </c>
      <c r="K29" s="34" t="n"/>
      <c r="L29" s="33" t="n"/>
      <c r="M29" s="33" t="n"/>
      <c r="N29" s="33" t="n"/>
      <c r="O29" s="36">
        <f>IF(B29="","",IF(K29&lt;&gt;"","Destruido",IF(TODAY()&gt;EDATE(B29,12),"⚠ PENDIENTE DE DESTRUIR","En custodia")))</f>
        <v/>
      </c>
    </row>
    <row r="30">
      <c r="A30" s="33" t="n"/>
      <c r="B30" s="34" t="n"/>
      <c r="C30" s="33" t="n"/>
      <c r="D30" s="33" t="n"/>
      <c r="E30" s="33" t="n"/>
      <c r="F30" s="33" t="n"/>
      <c r="G30" s="33" t="n"/>
      <c r="H30" s="33" t="n"/>
      <c r="I30" s="34" t="n"/>
      <c r="J30" s="35">
        <f>IF(B30="","",EDATE(B30,12))</f>
        <v/>
      </c>
      <c r="K30" s="34" t="n"/>
      <c r="L30" s="33" t="n"/>
      <c r="M30" s="33" t="n"/>
      <c r="N30" s="33" t="n"/>
      <c r="O30" s="36">
        <f>IF(B30="","",IF(K30&lt;&gt;"","Destruido",IF(TODAY()&gt;EDATE(B30,12),"⚠ PENDIENTE DE DESTRUIR","En custodia")))</f>
        <v/>
      </c>
    </row>
    <row r="31">
      <c r="A31" s="33" t="n"/>
      <c r="B31" s="34" t="n"/>
      <c r="C31" s="33" t="n"/>
      <c r="D31" s="33" t="n"/>
      <c r="E31" s="33" t="n"/>
      <c r="F31" s="33" t="n"/>
      <c r="G31" s="33" t="n"/>
      <c r="H31" s="33" t="n"/>
      <c r="I31" s="34" t="n"/>
      <c r="J31" s="35">
        <f>IF(B31="","",EDATE(B31,12))</f>
        <v/>
      </c>
      <c r="K31" s="34" t="n"/>
      <c r="L31" s="33" t="n"/>
      <c r="M31" s="33" t="n"/>
      <c r="N31" s="33" t="n"/>
      <c r="O31" s="36">
        <f>IF(B31="","",IF(K31&lt;&gt;"","Destruido",IF(TODAY()&gt;EDATE(B31,12),"⚠ PENDIENTE DE DESTRUIR","En custodia")))</f>
        <v/>
      </c>
    </row>
    <row r="32">
      <c r="A32" s="33" t="n"/>
      <c r="B32" s="34" t="n"/>
      <c r="C32" s="33" t="n"/>
      <c r="D32" s="33" t="n"/>
      <c r="E32" s="33" t="n"/>
      <c r="F32" s="33" t="n"/>
      <c r="G32" s="33" t="n"/>
      <c r="H32" s="33" t="n"/>
      <c r="I32" s="34" t="n"/>
      <c r="J32" s="35">
        <f>IF(B32="","",EDATE(B32,12))</f>
        <v/>
      </c>
      <c r="K32" s="34" t="n"/>
      <c r="L32" s="33" t="n"/>
      <c r="M32" s="33" t="n"/>
      <c r="N32" s="33" t="n"/>
      <c r="O32" s="36">
        <f>IF(B32="","",IF(K32&lt;&gt;"","Destruido",IF(TODAY()&gt;EDATE(B32,12),"⚠ PENDIENTE DE DESTRUIR","En custodia")))</f>
        <v/>
      </c>
    </row>
    <row r="33">
      <c r="A33" s="33" t="n"/>
      <c r="B33" s="34" t="n"/>
      <c r="C33" s="33" t="n"/>
      <c r="D33" s="33" t="n"/>
      <c r="E33" s="33" t="n"/>
      <c r="F33" s="33" t="n"/>
      <c r="G33" s="33" t="n"/>
      <c r="H33" s="33" t="n"/>
      <c r="I33" s="34" t="n"/>
      <c r="J33" s="35">
        <f>IF(B33="","",EDATE(B33,12))</f>
        <v/>
      </c>
      <c r="K33" s="34" t="n"/>
      <c r="L33" s="33" t="n"/>
      <c r="M33" s="33" t="n"/>
      <c r="N33" s="33" t="n"/>
      <c r="O33" s="36">
        <f>IF(B33="","",IF(K33&lt;&gt;"","Destruido",IF(TODAY()&gt;EDATE(B33,12),"⚠ PENDIENTE DE DESTRUIR","En custodia")))</f>
        <v/>
      </c>
    </row>
    <row r="34">
      <c r="A34" s="33" t="n"/>
      <c r="B34" s="34" t="n"/>
      <c r="C34" s="33" t="n"/>
      <c r="D34" s="33" t="n"/>
      <c r="E34" s="33" t="n"/>
      <c r="F34" s="33" t="n"/>
      <c r="G34" s="33" t="n"/>
      <c r="H34" s="33" t="n"/>
      <c r="I34" s="34" t="n"/>
      <c r="J34" s="35">
        <f>IF(B34="","",EDATE(B34,12))</f>
        <v/>
      </c>
      <c r="K34" s="34" t="n"/>
      <c r="L34" s="33" t="n"/>
      <c r="M34" s="33" t="n"/>
      <c r="N34" s="33" t="n"/>
      <c r="O34" s="36">
        <f>IF(B34="","",IF(K34&lt;&gt;"","Destruido",IF(TODAY()&gt;EDATE(B34,12),"⚠ PENDIENTE DE DESTRUIR","En custodia")))</f>
        <v/>
      </c>
    </row>
    <row r="35">
      <c r="A35" s="33" t="n"/>
      <c r="B35" s="34" t="n"/>
      <c r="C35" s="33" t="n"/>
      <c r="D35" s="33" t="n"/>
      <c r="E35" s="33" t="n"/>
      <c r="F35" s="33" t="n"/>
      <c r="G35" s="33" t="n"/>
      <c r="H35" s="33" t="n"/>
      <c r="I35" s="34" t="n"/>
      <c r="J35" s="35">
        <f>IF(B35="","",EDATE(B35,12))</f>
        <v/>
      </c>
      <c r="K35" s="34" t="n"/>
      <c r="L35" s="33" t="n"/>
      <c r="M35" s="33" t="n"/>
      <c r="N35" s="33" t="n"/>
      <c r="O35" s="36">
        <f>IF(B35="","",IF(K35&lt;&gt;"","Destruido",IF(TODAY()&gt;EDATE(B35,12),"⚠ PENDIENTE DE DESTRUIR","En custodia")))</f>
        <v/>
      </c>
    </row>
    <row r="36">
      <c r="A36" s="33" t="n"/>
      <c r="B36" s="34" t="n"/>
      <c r="C36" s="33" t="n"/>
      <c r="D36" s="33" t="n"/>
      <c r="E36" s="33" t="n"/>
      <c r="F36" s="33" t="n"/>
      <c r="G36" s="33" t="n"/>
      <c r="H36" s="33" t="n"/>
      <c r="I36" s="34" t="n"/>
      <c r="J36" s="35">
        <f>IF(B36="","",EDATE(B36,12))</f>
        <v/>
      </c>
      <c r="K36" s="34" t="n"/>
      <c r="L36" s="33" t="n"/>
      <c r="M36" s="33" t="n"/>
      <c r="N36" s="33" t="n"/>
      <c r="O36" s="36">
        <f>IF(B36="","",IF(K36&lt;&gt;"","Destruido",IF(TODAY()&gt;EDATE(B36,12),"⚠ PENDIENTE DE DESTRUIR","En custodia")))</f>
        <v/>
      </c>
    </row>
    <row r="37">
      <c r="A37" s="33" t="n"/>
      <c r="B37" s="34" t="n"/>
      <c r="C37" s="33" t="n"/>
      <c r="D37" s="33" t="n"/>
      <c r="E37" s="33" t="n"/>
      <c r="F37" s="33" t="n"/>
      <c r="G37" s="33" t="n"/>
      <c r="H37" s="33" t="n"/>
      <c r="I37" s="34" t="n"/>
      <c r="J37" s="35">
        <f>IF(B37="","",EDATE(B37,12))</f>
        <v/>
      </c>
      <c r="K37" s="34" t="n"/>
      <c r="L37" s="33" t="n"/>
      <c r="M37" s="33" t="n"/>
      <c r="N37" s="33" t="n"/>
      <c r="O37" s="36">
        <f>IF(B37="","",IF(K37&lt;&gt;"","Destruido",IF(TODAY()&gt;EDATE(B37,12),"⚠ PENDIENTE DE DESTRUIR","En custodia")))</f>
        <v/>
      </c>
    </row>
    <row r="38">
      <c r="A38" s="33" t="n"/>
      <c r="B38" s="34" t="n"/>
      <c r="C38" s="33" t="n"/>
      <c r="D38" s="33" t="n"/>
      <c r="E38" s="33" t="n"/>
      <c r="F38" s="33" t="n"/>
      <c r="G38" s="33" t="n"/>
      <c r="H38" s="33" t="n"/>
      <c r="I38" s="34" t="n"/>
      <c r="J38" s="35">
        <f>IF(B38="","",EDATE(B38,12))</f>
        <v/>
      </c>
      <c r="K38" s="34" t="n"/>
      <c r="L38" s="33" t="n"/>
      <c r="M38" s="33" t="n"/>
      <c r="N38" s="33" t="n"/>
      <c r="O38" s="36">
        <f>IF(B38="","",IF(K38&lt;&gt;"","Destruido",IF(TODAY()&gt;EDATE(B38,12),"⚠ PENDIENTE DE DESTRUIR","En custodia")))</f>
        <v/>
      </c>
    </row>
    <row r="39">
      <c r="A39" s="33" t="n"/>
      <c r="B39" s="34" t="n"/>
      <c r="C39" s="33" t="n"/>
      <c r="D39" s="33" t="n"/>
      <c r="E39" s="33" t="n"/>
      <c r="F39" s="33" t="n"/>
      <c r="G39" s="33" t="n"/>
      <c r="H39" s="33" t="n"/>
      <c r="I39" s="34" t="n"/>
      <c r="J39" s="35">
        <f>IF(B39="","",EDATE(B39,12))</f>
        <v/>
      </c>
      <c r="K39" s="34" t="n"/>
      <c r="L39" s="33" t="n"/>
      <c r="M39" s="33" t="n"/>
      <c r="N39" s="33" t="n"/>
      <c r="O39" s="36">
        <f>IF(B39="","",IF(K39&lt;&gt;"","Destruido",IF(TODAY()&gt;EDATE(B39,12),"⚠ PENDIENTE DE DESTRUIR","En custodia")))</f>
        <v/>
      </c>
    </row>
  </sheetData>
  <sheetProtection selectLockedCells="0" selectUnlockedCells="0" sheet="1" objects="0" insertRows="1" insertHyperlinks="1" autoFilter="1" scenarios="0" formatColumns="1" deleteColumns="1" insertColumns="1" pivotTables="1" deleteRows="1" formatCells="1" formatRows="1" sort="1"/>
  <conditionalFormatting sqref="O6:O39">
    <cfRule type="expression" priority="1" dxfId="0">
      <formula>$O6="⚠ PENDIENTE DE DESTRUIR"</formula>
    </cfRule>
  </conditionalFormatting>
  <pageMargins left="0.75" right="0.75" top="1" bottom="1" header="0.5" footer="0.5"/>
  <pageSetup orientation="landscape" paperSize="9" fitToHeight="0" fitToWidth="1"/>
</worksheet>
</file>

<file path=xl/worksheets/sheet6.xml><?xml version="1.0" encoding="utf-8"?>
<worksheet xmlns="http://schemas.openxmlformats.org/spreadsheetml/2006/main">
  <sheetPr>
    <outlinePr summaryBelow="1" summaryRight="1"/>
    <pageSetUpPr/>
  </sheetPr>
  <dimension ref="A1:C60"/>
  <sheetViews>
    <sheetView showGridLines="0" workbookViewId="0">
      <selection activeCell="A1" sqref="A1"/>
    </sheetView>
  </sheetViews>
  <sheetFormatPr baseColWidth="8" defaultRowHeight="15"/>
  <cols>
    <col width="44" customWidth="1" min="1" max="1"/>
    <col width="82" customWidth="1" min="2" max="2"/>
    <col width="14" customWidth="1" min="3" max="3"/>
  </cols>
  <sheetData>
    <row r="1">
      <c r="A1" s="1" t="inlineStr">
        <is>
          <t>CONFIGURACIÓN DEL CENTRO TÉCNICO</t>
        </is>
      </c>
    </row>
    <row r="2">
      <c r="A2" s="2" t="inlineStr">
        <is>
          <t>Datos que no cambian. Se escriben aquí una vez; los documentos los toman de estas celdas.</t>
        </is>
      </c>
    </row>
    <row r="3">
      <c r="A3" s="4" t="inlineStr">
        <is>
          <t>IDENTIFICACIÓN DEL CENTRO</t>
        </is>
      </c>
      <c r="B3" s="5" t="n"/>
      <c r="C3" s="5" t="n"/>
    </row>
    <row r="4">
      <c r="A4" s="6" t="inlineStr">
        <is>
          <t>Empresa</t>
        </is>
      </c>
      <c r="B4" s="7" t="inlineStr">
        <is>
          <t>COMERCIAL SEA S.A.</t>
        </is>
      </c>
    </row>
    <row r="5">
      <c r="A5" s="6" t="inlineStr">
        <is>
          <t>Centro técnico</t>
        </is>
      </c>
      <c r="B5" s="7" t="inlineStr">
        <is>
          <t>Centro técnico de Tacógrafos</t>
        </is>
      </c>
    </row>
    <row r="6">
      <c r="A6" s="6" t="inlineStr">
        <is>
          <t>Contraseña / nº de centro</t>
        </is>
      </c>
      <c r="B6" s="7" t="inlineStr">
        <is>
          <t>E943009</t>
        </is>
      </c>
    </row>
    <row r="7">
      <c r="A7" s="6" t="inlineStr">
        <is>
          <t>Dirección (línea 1)</t>
        </is>
      </c>
      <c r="B7" s="7" t="inlineStr">
        <is>
          <t>Pol.Ind. Riu Clar</t>
        </is>
      </c>
    </row>
    <row r="8">
      <c r="A8" s="6" t="inlineStr">
        <is>
          <t>Dirección (línea 2)</t>
        </is>
      </c>
      <c r="B8" s="7" t="inlineStr">
        <is>
          <t>C/ Coure, 27</t>
        </is>
      </c>
    </row>
    <row r="9">
      <c r="A9" s="6" t="inlineStr">
        <is>
          <t>Código postal y ciudad</t>
        </is>
      </c>
      <c r="B9" s="7" t="inlineStr">
        <is>
          <t>43006 Tarragona</t>
        </is>
      </c>
    </row>
    <row r="10">
      <c r="A10" s="6" t="inlineStr">
        <is>
          <t>Ciudad de firma</t>
        </is>
      </c>
      <c r="B10" s="7" t="inlineStr">
        <is>
          <t>Tarragona</t>
        </is>
      </c>
    </row>
    <row r="11">
      <c r="A11" s="6" t="inlineStr">
        <is>
          <t>Email del centro</t>
        </is>
      </c>
      <c r="B11" s="7" t="inlineStr">
        <is>
          <t>jcruset@comercialsea.es</t>
        </is>
      </c>
    </row>
    <row r="12">
      <c r="A12" s="6" t="inlineStr">
        <is>
          <t>Destinatario administración</t>
        </is>
      </c>
      <c r="B12" s="7" t="inlineStr">
        <is>
          <t>Direcció General de Transports i Mobilitat</t>
        </is>
      </c>
    </row>
    <row r="14">
      <c r="A14" s="4" t="inlineStr">
        <is>
          <t>RESPONSABLES (UNE 66102:2025, 7.5.2 y anexo C)</t>
        </is>
      </c>
      <c r="B14" s="5" t="n"/>
      <c r="C14" s="5" t="n"/>
    </row>
    <row r="15">
      <c r="A15" s="6" t="inlineStr">
        <is>
          <t>Responsable técnico</t>
        </is>
      </c>
      <c r="B15" s="7" t="inlineStr">
        <is>
          <t>Jordi Cruset</t>
        </is>
      </c>
    </row>
    <row r="16">
      <c r="A16" s="6" t="inlineStr">
        <is>
          <t>Documentación elaborada por</t>
        </is>
      </c>
      <c r="B16" s="7" t="inlineStr">
        <is>
          <t>Jordi Cruset</t>
        </is>
      </c>
    </row>
    <row r="17">
      <c r="A17" s="6" t="inlineStr">
        <is>
          <t>Documentación aprobada por</t>
        </is>
      </c>
      <c r="B17" s="7" t="inlineStr">
        <is>
          <t>Dirección</t>
        </is>
      </c>
    </row>
    <row r="19">
      <c r="A19" s="4" t="inlineStr">
        <is>
          <t>CONTROL DOCUMENTAL (UNE 66102:2025, 7.5.2 y 7.5.3)</t>
        </is>
      </c>
      <c r="B19" s="5" t="n"/>
      <c r="C19" s="5" t="n"/>
    </row>
    <row r="20">
      <c r="A20" s="6" t="inlineStr">
        <is>
          <t>Versión del formato</t>
        </is>
      </c>
      <c r="B20" s="10" t="inlineStr">
        <is>
          <t>02</t>
        </is>
      </c>
    </row>
    <row r="21">
      <c r="A21" s="6" t="inlineStr">
        <is>
          <t>Fecha de edición del formato</t>
        </is>
      </c>
      <c r="B21" s="7" t="inlineStr">
        <is>
          <t>2026-08-22</t>
        </is>
      </c>
    </row>
    <row r="22">
      <c r="A22" s="6" t="inlineStr">
        <is>
          <t>Código formato — justificante transferencia</t>
        </is>
      </c>
      <c r="B22" s="7" t="inlineStr">
        <is>
          <t>CTT-F-01</t>
        </is>
      </c>
    </row>
    <row r="23">
      <c r="A23" s="6" t="inlineStr">
        <is>
          <t>Código formato — acuse intransferibilidad</t>
        </is>
      </c>
      <c r="B23" s="7" t="inlineStr">
        <is>
          <t>CTT-F-03</t>
        </is>
      </c>
    </row>
    <row r="24">
      <c r="A24" s="6" t="inlineStr">
        <is>
          <t>Código formato — comunicación administración</t>
        </is>
      </c>
      <c r="B24" s="7" t="inlineStr">
        <is>
          <t>CTT-F-04</t>
        </is>
      </c>
    </row>
    <row r="25">
      <c r="A25" s="6" t="inlineStr">
        <is>
          <t>Código formato — registro de transferencias</t>
        </is>
      </c>
      <c r="B25" s="7" t="inlineStr">
        <is>
          <t>CTT-R-01</t>
        </is>
      </c>
    </row>
    <row r="26">
      <c r="A26" s="6" t="inlineStr">
        <is>
          <t>Conservación de los archivos transferidos</t>
        </is>
      </c>
      <c r="B26" s="7" t="inlineStr">
        <is>
          <t>1 año desde la transferencia (RD 125/2017, nota F)</t>
        </is>
      </c>
    </row>
    <row r="28">
      <c r="A28" s="4" t="inlineStr">
        <is>
          <t>ENLACES</t>
        </is>
      </c>
      <c r="B28" s="5" t="n"/>
      <c r="C28" s="5" t="n"/>
    </row>
    <row r="29">
      <c r="A29" s="6" t="inlineStr">
        <is>
          <t>Trámite Generalitat (petició genèrica)</t>
        </is>
      </c>
      <c r="B29" s="37" t="inlineStr">
        <is>
          <t>https://web.gencat.cat/ca/tramits/tramits-temes/Peticio-generica</t>
        </is>
      </c>
    </row>
    <row r="30">
      <c r="A30" s="6" t="inlineStr">
        <is>
          <t>Trámite Generalitat (formulario OVT)</t>
        </is>
      </c>
      <c r="B30" s="37" t="inlineStr">
        <is>
          <t>https://ovt.gencat.cat/gsitgf/AppJava/traint/renderitzar.do?reqCode=inicial&amp;set-locale=ca_ES&amp;idioma=ca_ES&amp;idServei=ING001SOLC&amp;urlRetorn=https%3A%2F%2Fweb.gencat.cat%2Fca%2Ftramits%2Ftramits-temes%2FPeticio-generica%3Fmoda%3D1&amp;tpst=ae56fd5821cffc7f4784ac8db0c0e1a0</t>
        </is>
      </c>
    </row>
    <row r="32">
      <c r="A32" s="4" t="inlineStr">
        <is>
          <t>LISTAS</t>
        </is>
      </c>
      <c r="B32" s="5" t="n"/>
      <c r="C32" s="5" t="n"/>
    </row>
    <row r="33">
      <c r="A33" s="6" t="inlineStr">
        <is>
          <t>Transferencia correcta</t>
        </is>
      </c>
    </row>
    <row r="34">
      <c r="A34" s="6" t="inlineStr">
        <is>
          <t>Intransferibilidad</t>
        </is>
      </c>
    </row>
    <row r="35">
      <c r="B35" s="6" t="inlineStr">
        <is>
          <t>En mano</t>
        </is>
      </c>
    </row>
    <row r="36">
      <c r="B36" s="6" t="inlineStr">
        <is>
          <t>Email</t>
        </is>
      </c>
    </row>
    <row r="37">
      <c r="B37" s="6" t="inlineStr">
        <is>
          <t>Mensajería</t>
        </is>
      </c>
    </row>
    <row r="38">
      <c r="B38" s="6" t="inlineStr">
        <is>
          <t>Correo certificado</t>
        </is>
      </c>
    </row>
    <row r="39">
      <c r="C39" s="6" t="inlineStr">
        <is>
          <t>Sí</t>
        </is>
      </c>
    </row>
    <row r="40">
      <c r="C40" s="6" t="inlineStr">
        <is>
          <t>No</t>
        </is>
      </c>
    </row>
    <row r="42">
      <c r="A42" s="4" t="inlineStr">
        <is>
          <t>FRAGMENTOS DE TEXTO LEGAL (editar sólo ante cambio normativo)</t>
        </is>
      </c>
      <c r="B42" s="5" t="n"/>
      <c r="C42" s="5" t="n"/>
    </row>
    <row r="43">
      <c r="A43" s="2" t="inlineStr">
        <is>
          <t>Txt_J_Informado</t>
        </is>
      </c>
      <c r="B43" s="38" t="inlineStr">
        <is>
          <t xml:space="preserve">He sido informado por el centro técnico de tacógrafos de </t>
        </is>
      </c>
    </row>
    <row r="44">
      <c r="A44" s="2" t="inlineStr">
        <is>
          <t>Txt_J_Contrasena</t>
        </is>
      </c>
      <c r="B44" s="38" t="inlineStr">
        <is>
          <t xml:space="preserve">con contraseña </t>
        </is>
      </c>
    </row>
    <row r="45">
      <c r="A45" s="2" t="inlineStr">
        <is>
          <t>Txt_J_Marca</t>
        </is>
      </c>
      <c r="B45" s="38" t="inlineStr">
        <is>
          <t>, de que el tacógrafo marca:</t>
        </is>
      </c>
    </row>
    <row r="46">
      <c r="A46" s="2" t="inlineStr">
        <is>
          <t>Txt_En</t>
        </is>
      </c>
      <c r="B46" s="38" t="inlineStr">
        <is>
          <t xml:space="preserve">En </t>
        </is>
      </c>
    </row>
    <row r="47">
      <c r="A47" s="2" t="inlineStr">
        <is>
          <t>Txt_A</t>
        </is>
      </c>
      <c r="B47" s="38" t="inlineStr">
        <is>
          <t xml:space="preserve">, a </t>
        </is>
      </c>
    </row>
    <row r="48">
      <c r="A48" s="2" t="inlineStr">
        <is>
          <t>Txt_Sello</t>
        </is>
      </c>
      <c r="B48" s="38" t="inlineStr">
        <is>
          <t xml:space="preserve">Sello </t>
        </is>
      </c>
    </row>
    <row r="49">
      <c r="A49" s="2" t="inlineStr">
        <is>
          <t>Txt_Entrega_Si</t>
        </is>
      </c>
      <c r="B49" s="38" t="inlineStr">
        <is>
          <t>***Se entrega tacógrafo Averiado</t>
        </is>
      </c>
    </row>
    <row r="50">
      <c r="A50" s="2" t="inlineStr">
        <is>
          <t>Txt_Achatarrar_Si</t>
        </is>
      </c>
      <c r="B50" s="38" t="inlineStr">
        <is>
          <t>***El tacógrafo se achatarrará</t>
        </is>
      </c>
    </row>
    <row r="51">
      <c r="A51" s="2" t="inlineStr">
        <is>
          <t>Txt_Fitxer</t>
        </is>
      </c>
      <c r="B51" s="38" t="inlineStr">
        <is>
          <t xml:space="preserve"> Certificat de Intransferibilitat</t>
        </is>
      </c>
    </row>
    <row r="52">
      <c r="A52" s="2" t="inlineStr">
        <is>
          <t>Txt_Confid</t>
        </is>
      </c>
      <c r="B52" s="38" t="inlineStr">
        <is>
          <t>Los datos contenidos en la memoria de la unidad intravehicular tienen carácter confidencial. El solicitante debe evaluar la confidencialidad de los datos transferidos para el procedimiento de remisión que elija. El centro técnico no será responsable de la violación de la confidencialidad de los datos durante su remisión (nota E del anexo II del Real decreto 125/2017).</t>
        </is>
      </c>
    </row>
    <row r="53">
      <c r="A53" s="2" t="inlineStr">
        <is>
          <t>Txt_Custodia</t>
        </is>
      </c>
      <c r="B53" s="38" t="inlineStr">
        <is>
          <t>Los datos recuperados de la unidad instalada en el vehículo se guardarán en el centro técnico durante un año desde la fecha de la transferencia. Una vez cumplido dicho plazo, los datos serán destruidos (nota F del anexo II del Real decreto 125/2017).</t>
        </is>
      </c>
    </row>
    <row r="54">
      <c r="A54" s="2" t="inlineStr">
        <is>
          <t>Txt_Titularidad</t>
        </is>
      </c>
      <c r="B54" s="38" t="inlineStr">
        <is>
          <t>Se ha presentado al centro técnico documento que avala la titularidad de los datos por parte de la empresa de transportes, verificado y archivado por el centro (nota D del anexo II del Real decreto 125/2017).</t>
        </is>
      </c>
    </row>
    <row r="55">
      <c r="A55" s="2" t="inlineStr">
        <is>
          <t>Txt_Cat_1</t>
        </is>
      </c>
      <c r="B55" s="38" t="inlineStr">
        <is>
          <t xml:space="preserve">En compliment del requisit expressat en la disposició addicional primera, apartat 10, del Reial decret 125/2017, els remetem còpia del certificat de intransferibilitat corresponent a la substitució del tacògraf: Model: </t>
        </is>
      </c>
    </row>
    <row r="56">
      <c r="A56" s="2" t="inlineStr">
        <is>
          <t>Txt_Cat_2</t>
        </is>
      </c>
      <c r="B56" s="38" t="inlineStr">
        <is>
          <t xml:space="preserve">, Nº de Sèrie: </t>
        </is>
      </c>
    </row>
    <row r="57">
      <c r="A57" s="2" t="inlineStr">
        <is>
          <t>Txt_Cat_3</t>
        </is>
      </c>
      <c r="B57" s="38" t="inlineStr">
        <is>
          <t xml:space="preserve">, muntat en el vehicle: </t>
        </is>
      </c>
    </row>
    <row r="58">
      <c r="A58" s="2" t="inlineStr">
        <is>
          <t>Txt_Cat_4</t>
        </is>
      </c>
      <c r="B58" s="38" t="inlineStr">
        <is>
          <t xml:space="preserve">, Nº d'informe / certificat: </t>
        </is>
      </c>
    </row>
    <row r="59">
      <c r="A59" s="2" t="inlineStr">
        <is>
          <t>Txt_Cat_5</t>
        </is>
      </c>
      <c r="B59" s="38" t="inlineStr">
        <is>
          <t xml:space="preserve">, Data Informe: </t>
        </is>
      </c>
    </row>
    <row r="60">
      <c r="A60" s="2" t="inlineStr">
        <is>
          <t>Txt_Cat_6</t>
        </is>
      </c>
      <c r="B60" s="38" t="inlineStr">
        <is>
          <t>. Sol·licito que es doni el tràmit acceptat.</t>
        </is>
      </c>
    </row>
  </sheetData>
  <sheetProtection selectLockedCells="0" selectUnlockedCells="0" sheet="1" objects="0" insertRows="1" insertHyperlinks="1" autoFilter="1" scenarios="0" formatColumns="1" deleteColumns="1" insertColumns="1" pivotTables="1" deleteRows="1" formatCells="1" formatRows="1" sort="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2026-08-22T06:26:53Z</dcterms:created>
  <dcterms:modified xsi:type="dcterms:W3CDTF">2026-08-22T06:26:53Z</dcterms:modified>
</cp:coreProperties>
</file>